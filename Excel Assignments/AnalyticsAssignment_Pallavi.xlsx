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483b40301e09e487/Desktop/bytecodeassignments/Excel Assignments/"/>
    </mc:Choice>
  </mc:AlternateContent>
  <xr:revisionPtr revIDLastSave="0" documentId="8_{1120C997-F3E6-48E0-8DBD-F9DB8BB266BB}" xr6:coauthVersionLast="47" xr6:coauthVersionMax="47" xr10:uidLastSave="{00000000-0000-0000-0000-000000000000}"/>
  <bookViews>
    <workbookView xWindow="-108" yWindow="-108" windowWidth="23256" windowHeight="12456" tabRatio="500" firstSheet="1" activeTab="1" xr2:uid="{00000000-000D-0000-FFFF-FFFF00000000}"/>
  </bookViews>
  <sheets>
    <sheet name="Instructions" sheetId="1" r:id="rId1"/>
    <sheet name="Sales_Data_Formatted" sheetId="6" r:id="rId2"/>
    <sheet name="Sales_Data" sheetId="2" r:id="rId3"/>
    <sheet name="Assignment_Questions" sheetId="3" r:id="rId4"/>
    <sheet name="Conditional_Formatting_Tasks" sheetId="4" r:id="rId5"/>
    <sheet name="Answer_Key (Trainer Only)" sheetId="5" state="hidden" r:id="rId6"/>
  </sheets>
  <definedNames>
    <definedName name="_xlnm._FilterDatabase" localSheetId="2" hidden="1">Sales_Data!$A$1:$M$101</definedName>
    <definedName name="_xlnm._FilterDatabase" localSheetId="1" hidden="1">Sales_Data_Formatted!$A$1:$M$101</definedName>
    <definedName name="Category">Sales_Data!$D$2:$D$101</definedName>
    <definedName name="CustomerType">Sales_Data!$L$2:$L$101</definedName>
    <definedName name="Discount">Sales_Data!$I$2:$I$101</definedName>
    <definedName name="Profit">Sales_Data!$K$2:$K$101</definedName>
    <definedName name="Rating">Sales_Data!$M$2:$M$101</definedName>
    <definedName name="Region">Sales_Data!$C$2:$C$101</definedName>
    <definedName name="Sales">Sales_Data!$J$2:$J$101</definedName>
    <definedName name="SalesRep">Sales_Data!$F$2:$F$101</definedName>
    <definedName name="UnitPrice">Sales_Data!$H$2:$H$101</definedName>
    <definedName name="Units">Sales_Data!$G$2:$G$101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9" i="3" l="1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N2" i="3" a="1"/>
  <c r="M2" i="3" a="1"/>
  <c r="L2" i="3" a="1"/>
  <c r="K2" i="3" a="1"/>
  <c r="J2" i="3" a="1"/>
  <c r="I2" i="3" a="1"/>
  <c r="H2" i="3" a="1"/>
  <c r="G2" i="3" a="1"/>
  <c r="F2" i="3" a="1"/>
  <c r="J101" i="6"/>
  <c r="K101" i="6" s="1"/>
  <c r="J100" i="6"/>
  <c r="K100" i="6" s="1"/>
  <c r="J99" i="6"/>
  <c r="K99" i="6" s="1"/>
  <c r="J98" i="6"/>
  <c r="K98" i="6" s="1"/>
  <c r="J97" i="6"/>
  <c r="K97" i="6" s="1"/>
  <c r="J96" i="6"/>
  <c r="K96" i="6" s="1"/>
  <c r="J95" i="6"/>
  <c r="K95" i="6" s="1"/>
  <c r="J94" i="6"/>
  <c r="K94" i="6" s="1"/>
  <c r="J93" i="6"/>
  <c r="K93" i="6" s="1"/>
  <c r="J92" i="6"/>
  <c r="K92" i="6" s="1"/>
  <c r="J91" i="6"/>
  <c r="K91" i="6" s="1"/>
  <c r="J90" i="6"/>
  <c r="K90" i="6" s="1"/>
  <c r="J89" i="6"/>
  <c r="K89" i="6" s="1"/>
  <c r="J88" i="6"/>
  <c r="K88" i="6" s="1"/>
  <c r="J87" i="6"/>
  <c r="K87" i="6" s="1"/>
  <c r="J86" i="6"/>
  <c r="K86" i="6" s="1"/>
  <c r="J85" i="6"/>
  <c r="K85" i="6" s="1"/>
  <c r="J84" i="6"/>
  <c r="K84" i="6" s="1"/>
  <c r="J83" i="6"/>
  <c r="K83" i="6" s="1"/>
  <c r="J82" i="6"/>
  <c r="K82" i="6" s="1"/>
  <c r="J81" i="6"/>
  <c r="K81" i="6" s="1"/>
  <c r="J80" i="6"/>
  <c r="K80" i="6" s="1"/>
  <c r="J79" i="6"/>
  <c r="K79" i="6" s="1"/>
  <c r="J78" i="6"/>
  <c r="K78" i="6" s="1"/>
  <c r="J77" i="6"/>
  <c r="K77" i="6" s="1"/>
  <c r="J76" i="6"/>
  <c r="K76" i="6" s="1"/>
  <c r="J75" i="6"/>
  <c r="K75" i="6" s="1"/>
  <c r="J74" i="6"/>
  <c r="K74" i="6" s="1"/>
  <c r="J73" i="6"/>
  <c r="K73" i="6" s="1"/>
  <c r="J72" i="6"/>
  <c r="K72" i="6" s="1"/>
  <c r="J71" i="6"/>
  <c r="K71" i="6" s="1"/>
  <c r="J70" i="6"/>
  <c r="K70" i="6" s="1"/>
  <c r="J69" i="6"/>
  <c r="K69" i="6" s="1"/>
  <c r="J68" i="6"/>
  <c r="K68" i="6" s="1"/>
  <c r="J67" i="6"/>
  <c r="K67" i="6" s="1"/>
  <c r="J66" i="6"/>
  <c r="K66" i="6" s="1"/>
  <c r="J65" i="6"/>
  <c r="K65" i="6" s="1"/>
  <c r="J64" i="6"/>
  <c r="K64" i="6" s="1"/>
  <c r="J63" i="6"/>
  <c r="K63" i="6" s="1"/>
  <c r="J62" i="6"/>
  <c r="K62" i="6" s="1"/>
  <c r="J61" i="6"/>
  <c r="K61" i="6" s="1"/>
  <c r="J60" i="6"/>
  <c r="K60" i="6" s="1"/>
  <c r="J59" i="6"/>
  <c r="K59" i="6" s="1"/>
  <c r="J58" i="6"/>
  <c r="K58" i="6" s="1"/>
  <c r="J57" i="6"/>
  <c r="K57" i="6" s="1"/>
  <c r="J56" i="6"/>
  <c r="K56" i="6" s="1"/>
  <c r="J55" i="6"/>
  <c r="K55" i="6" s="1"/>
  <c r="J54" i="6"/>
  <c r="K54" i="6" s="1"/>
  <c r="J53" i="6"/>
  <c r="K53" i="6" s="1"/>
  <c r="J52" i="6"/>
  <c r="K52" i="6" s="1"/>
  <c r="J51" i="6"/>
  <c r="K51" i="6" s="1"/>
  <c r="J50" i="6"/>
  <c r="K50" i="6" s="1"/>
  <c r="J49" i="6"/>
  <c r="K49" i="6" s="1"/>
  <c r="J48" i="6"/>
  <c r="K48" i="6" s="1"/>
  <c r="J47" i="6"/>
  <c r="K47" i="6" s="1"/>
  <c r="J46" i="6"/>
  <c r="K46" i="6" s="1"/>
  <c r="J45" i="6"/>
  <c r="K45" i="6" s="1"/>
  <c r="J44" i="6"/>
  <c r="K44" i="6" s="1"/>
  <c r="J43" i="6"/>
  <c r="K43" i="6" s="1"/>
  <c r="J42" i="6"/>
  <c r="K42" i="6" s="1"/>
  <c r="J41" i="6"/>
  <c r="K41" i="6" s="1"/>
  <c r="J40" i="6"/>
  <c r="K40" i="6" s="1"/>
  <c r="J39" i="6"/>
  <c r="K39" i="6" s="1"/>
  <c r="J38" i="6"/>
  <c r="K38" i="6" s="1"/>
  <c r="J37" i="6"/>
  <c r="K37" i="6" s="1"/>
  <c r="J36" i="6"/>
  <c r="K36" i="6" s="1"/>
  <c r="K35" i="6"/>
  <c r="J35" i="6"/>
  <c r="J34" i="6"/>
  <c r="K34" i="6" s="1"/>
  <c r="J33" i="6"/>
  <c r="K33" i="6" s="1"/>
  <c r="J32" i="6"/>
  <c r="K32" i="6" s="1"/>
  <c r="J31" i="6"/>
  <c r="K31" i="6" s="1"/>
  <c r="J30" i="6"/>
  <c r="K30" i="6" s="1"/>
  <c r="J29" i="6"/>
  <c r="K29" i="6" s="1"/>
  <c r="J28" i="6"/>
  <c r="K28" i="6" s="1"/>
  <c r="J27" i="6"/>
  <c r="K27" i="6" s="1"/>
  <c r="J26" i="6"/>
  <c r="K26" i="6" s="1"/>
  <c r="J25" i="6"/>
  <c r="K25" i="6" s="1"/>
  <c r="J24" i="6"/>
  <c r="K24" i="6" s="1"/>
  <c r="J23" i="6"/>
  <c r="K23" i="6" s="1"/>
  <c r="K22" i="6"/>
  <c r="J22" i="6"/>
  <c r="J21" i="6"/>
  <c r="K21" i="6" s="1"/>
  <c r="J20" i="6"/>
  <c r="K20" i="6" s="1"/>
  <c r="J19" i="6"/>
  <c r="K19" i="6" s="1"/>
  <c r="J18" i="6"/>
  <c r="K18" i="6" s="1"/>
  <c r="J17" i="6"/>
  <c r="K17" i="6" s="1"/>
  <c r="J16" i="6"/>
  <c r="K16" i="6" s="1"/>
  <c r="J15" i="6"/>
  <c r="K15" i="6" s="1"/>
  <c r="J14" i="6"/>
  <c r="K14" i="6" s="1"/>
  <c r="J13" i="6"/>
  <c r="K13" i="6" s="1"/>
  <c r="J12" i="6"/>
  <c r="K12" i="6" s="1"/>
  <c r="J11" i="6"/>
  <c r="K11" i="6" s="1"/>
  <c r="J10" i="6"/>
  <c r="K10" i="6" s="1"/>
  <c r="J9" i="6"/>
  <c r="K9" i="6" s="1"/>
  <c r="J8" i="6"/>
  <c r="K8" i="6" s="1"/>
  <c r="J7" i="6"/>
  <c r="K7" i="6" s="1"/>
  <c r="J6" i="6"/>
  <c r="K6" i="6" s="1"/>
  <c r="J5" i="6"/>
  <c r="K5" i="6" s="1"/>
  <c r="J4" i="6"/>
  <c r="K4" i="6" s="1"/>
  <c r="J3" i="6"/>
  <c r="K3" i="6" s="1"/>
  <c r="J2" i="6"/>
  <c r="K2" i="6" s="1"/>
  <c r="D29" i="5"/>
  <c r="D27" i="5"/>
  <c r="D26" i="5"/>
  <c r="D25" i="5"/>
  <c r="D24" i="5"/>
  <c r="D23" i="5"/>
  <c r="D22" i="5"/>
  <c r="D21" i="5"/>
  <c r="D19" i="5"/>
  <c r="D18" i="5"/>
  <c r="D17" i="5"/>
  <c r="D16" i="5"/>
  <c r="D14" i="5"/>
  <c r="D13" i="5"/>
  <c r="D11" i="5"/>
  <c r="D10" i="5"/>
  <c r="D9" i="5"/>
  <c r="D8" i="5"/>
  <c r="D7" i="5"/>
  <c r="D6" i="5"/>
  <c r="D5" i="5"/>
  <c r="D4" i="5"/>
  <c r="D3" i="5"/>
  <c r="D2" i="5"/>
  <c r="J101" i="2"/>
  <c r="K101" i="2" s="1"/>
  <c r="J100" i="2"/>
  <c r="K100" i="2" s="1"/>
  <c r="J99" i="2"/>
  <c r="K99" i="2" s="1"/>
  <c r="J98" i="2"/>
  <c r="K98" i="2" s="1"/>
  <c r="J97" i="2"/>
  <c r="K97" i="2" s="1"/>
  <c r="J96" i="2"/>
  <c r="K96" i="2" s="1"/>
  <c r="J95" i="2"/>
  <c r="K95" i="2" s="1"/>
  <c r="J94" i="2"/>
  <c r="K94" i="2" s="1"/>
  <c r="J93" i="2"/>
  <c r="K93" i="2" s="1"/>
  <c r="J92" i="2"/>
  <c r="K92" i="2" s="1"/>
  <c r="J91" i="2"/>
  <c r="K91" i="2" s="1"/>
  <c r="J90" i="2"/>
  <c r="K90" i="2" s="1"/>
  <c r="J89" i="2"/>
  <c r="K89" i="2" s="1"/>
  <c r="J88" i="2"/>
  <c r="K88" i="2" s="1"/>
  <c r="K87" i="2"/>
  <c r="J87" i="2"/>
  <c r="J86" i="2"/>
  <c r="K86" i="2" s="1"/>
  <c r="J85" i="2"/>
  <c r="K85" i="2" s="1"/>
  <c r="J84" i="2"/>
  <c r="K84" i="2" s="1"/>
  <c r="J83" i="2"/>
  <c r="K83" i="2" s="1"/>
  <c r="J82" i="2"/>
  <c r="K82" i="2" s="1"/>
  <c r="J81" i="2"/>
  <c r="K81" i="2" s="1"/>
  <c r="J80" i="2"/>
  <c r="K80" i="2" s="1"/>
  <c r="J79" i="2"/>
  <c r="K79" i="2" s="1"/>
  <c r="J78" i="2"/>
  <c r="K78" i="2" s="1"/>
  <c r="J77" i="2"/>
  <c r="K77" i="2" s="1"/>
  <c r="J76" i="2"/>
  <c r="K76" i="2" s="1"/>
  <c r="J75" i="2"/>
  <c r="K75" i="2" s="1"/>
  <c r="J74" i="2"/>
  <c r="K74" i="2" s="1"/>
  <c r="K73" i="2"/>
  <c r="J73" i="2"/>
  <c r="J72" i="2"/>
  <c r="K72" i="2" s="1"/>
  <c r="J71" i="2"/>
  <c r="K71" i="2" s="1"/>
  <c r="J70" i="2"/>
  <c r="K70" i="2" s="1"/>
  <c r="J69" i="2"/>
  <c r="K69" i="2" s="1"/>
  <c r="J68" i="2"/>
  <c r="K68" i="2" s="1"/>
  <c r="J67" i="2"/>
  <c r="K67" i="2" s="1"/>
  <c r="J66" i="2"/>
  <c r="K66" i="2" s="1"/>
  <c r="J65" i="2"/>
  <c r="K65" i="2" s="1"/>
  <c r="J64" i="2"/>
  <c r="K64" i="2" s="1"/>
  <c r="J63" i="2"/>
  <c r="K63" i="2" s="1"/>
  <c r="J62" i="2"/>
  <c r="K62" i="2" s="1"/>
  <c r="J61" i="2"/>
  <c r="K61" i="2" s="1"/>
  <c r="J60" i="2"/>
  <c r="K60" i="2" s="1"/>
  <c r="J59" i="2"/>
  <c r="K59" i="2" s="1"/>
  <c r="J58" i="2"/>
  <c r="K58" i="2" s="1"/>
  <c r="J57" i="2"/>
  <c r="K57" i="2" s="1"/>
  <c r="J56" i="2"/>
  <c r="K56" i="2" s="1"/>
  <c r="J55" i="2"/>
  <c r="K55" i="2" s="1"/>
  <c r="J54" i="2"/>
  <c r="K54" i="2" s="1"/>
  <c r="J53" i="2"/>
  <c r="K53" i="2" s="1"/>
  <c r="J52" i="2"/>
  <c r="K52" i="2" s="1"/>
  <c r="J51" i="2"/>
  <c r="K51" i="2" s="1"/>
  <c r="J50" i="2"/>
  <c r="K50" i="2" s="1"/>
  <c r="J49" i="2"/>
  <c r="K49" i="2" s="1"/>
  <c r="J48" i="2"/>
  <c r="K48" i="2" s="1"/>
  <c r="J47" i="2"/>
  <c r="K47" i="2" s="1"/>
  <c r="J46" i="2"/>
  <c r="K46" i="2" s="1"/>
  <c r="J45" i="2"/>
  <c r="K45" i="2" s="1"/>
  <c r="J44" i="2"/>
  <c r="K44" i="2" s="1"/>
  <c r="J43" i="2"/>
  <c r="K43" i="2" s="1"/>
  <c r="J42" i="2"/>
  <c r="K42" i="2" s="1"/>
  <c r="J41" i="2"/>
  <c r="K41" i="2" s="1"/>
  <c r="J40" i="2"/>
  <c r="K40" i="2" s="1"/>
  <c r="J39" i="2"/>
  <c r="K39" i="2" s="1"/>
  <c r="J38" i="2"/>
  <c r="K38" i="2" s="1"/>
  <c r="J37" i="2"/>
  <c r="K37" i="2" s="1"/>
  <c r="J36" i="2"/>
  <c r="K36" i="2" s="1"/>
  <c r="J35" i="2"/>
  <c r="K35" i="2" s="1"/>
  <c r="J34" i="2"/>
  <c r="K34" i="2" s="1"/>
  <c r="J33" i="2"/>
  <c r="K33" i="2" s="1"/>
  <c r="J32" i="2"/>
  <c r="K32" i="2" s="1"/>
  <c r="J31" i="2"/>
  <c r="K31" i="2" s="1"/>
  <c r="J30" i="2"/>
  <c r="K30" i="2" s="1"/>
  <c r="J29" i="2"/>
  <c r="K29" i="2" s="1"/>
  <c r="K28" i="2"/>
  <c r="J28" i="2"/>
  <c r="J27" i="2"/>
  <c r="K27" i="2" s="1"/>
  <c r="J26" i="2"/>
  <c r="K26" i="2" s="1"/>
  <c r="J25" i="2"/>
  <c r="K25" i="2" s="1"/>
  <c r="J24" i="2"/>
  <c r="K24" i="2" s="1"/>
  <c r="J23" i="2"/>
  <c r="K23" i="2" s="1"/>
  <c r="J22" i="2"/>
  <c r="K22" i="2" s="1"/>
  <c r="J21" i="2"/>
  <c r="K21" i="2" s="1"/>
  <c r="J20" i="2"/>
  <c r="K20" i="2" s="1"/>
  <c r="J19" i="2"/>
  <c r="K19" i="2" s="1"/>
  <c r="J18" i="2"/>
  <c r="K18" i="2" s="1"/>
  <c r="J17" i="2"/>
  <c r="K17" i="2" s="1"/>
  <c r="J16" i="2"/>
  <c r="K16" i="2" s="1"/>
  <c r="J15" i="2"/>
  <c r="K15" i="2" s="1"/>
  <c r="J14" i="2"/>
  <c r="K14" i="2" s="1"/>
  <c r="D20" i="5" s="1"/>
  <c r="J13" i="2"/>
  <c r="K13" i="2" s="1"/>
  <c r="J12" i="2"/>
  <c r="K12" i="2" s="1"/>
  <c r="J11" i="2"/>
  <c r="K11" i="2" s="1"/>
  <c r="J10" i="2"/>
  <c r="K10" i="2" s="1"/>
  <c r="J9" i="2"/>
  <c r="K9" i="2" s="1"/>
  <c r="J8" i="2"/>
  <c r="K8" i="2" s="1"/>
  <c r="J7" i="2"/>
  <c r="K7" i="2" s="1"/>
  <c r="J6" i="2"/>
  <c r="K6" i="2" s="1"/>
  <c r="J5" i="2"/>
  <c r="K5" i="2" s="1"/>
  <c r="J4" i="2"/>
  <c r="K4" i="2" s="1"/>
  <c r="J3" i="2"/>
  <c r="K3" i="2" s="1"/>
  <c r="D15" i="5" s="1"/>
  <c r="J2" i="2"/>
  <c r="K2" i="2" s="1"/>
  <c r="D12" i="5" l="1"/>
  <c r="D28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<sst xmlns="http://schemas.openxmlformats.org/spreadsheetml/2006/main" count="1376" uniqueCount="231">
  <si>
    <t>Excel Analytics Practice Assignment</t>
  </si>
  <si>
    <t>Topics Covered</t>
  </si>
  <si>
    <t>•  Conditional Formatting (Highlight Rules, Data Bars, Color Scales, Icon Sets, Duplicates)</t>
  </si>
  <si>
    <t>•  IF (single condition)</t>
  </si>
  <si>
    <t>•  Nested IF (multiple conditions)</t>
  </si>
  <si>
    <t>•  IFS (multiple conditions, cleaner syntax)</t>
  </si>
  <si>
    <t>•  SUMIF / SUMIFS</t>
  </si>
  <si>
    <t>•  AVERAGEIF / AVERAGEIFS</t>
  </si>
  <si>
    <t>•  COUNTIF / COUNTIFS</t>
  </si>
  <si>
    <t>•  MINIFS / MAXIFS</t>
  </si>
  <si>
    <t>Instructions for Students</t>
  </si>
  <si>
    <t>1. All questions use the dataset in the 'Sales_Data' sheet. Do not change the raw data.</t>
  </si>
  <si>
    <t>2. Go to the 'Assignment_Questions' sheet and 'Conditional_Formatting_Tasks' sheet to see your tasks.</t>
  </si>
  <si>
    <t>3. Type your formula/answer directly into the yellow 'Your Answer' cell next to each question.</t>
  </si>
  <si>
    <t>4. For Conditional Formatting tasks, apply the formatting directly on a COPY of the Sales_Data sheet (right-click the sheet tab &gt; Move or Copy &gt; Create a copy) named 'Sales_Data_Formatted'.</t>
  </si>
  <si>
    <t>5. Use cell references in your formulas wherever possible instead of typing raw numbers.</t>
  </si>
  <si>
    <t>6. Do not hardcode answers — your formula should recalculate correctly if the data changes.</t>
  </si>
  <si>
    <t>7. Save the file with your name before submitting, e.g. AnalyticsAssignment_YourName.xlsx</t>
  </si>
  <si>
    <t>Dataset Column Reference (Sales_Data sheet)</t>
  </si>
  <si>
    <t>A: OrderID | B: OrderDate | C: Region | D: Category | E: Product | F: SalesRep</t>
  </si>
  <si>
    <t>G: Units | H: UnitPrice | I: Discount% | J: Sales | K: Profit | L: CustomerType | M: Rating(1-5)</t>
  </si>
  <si>
    <t>OrderID</t>
  </si>
  <si>
    <t>OrderDate</t>
  </si>
  <si>
    <t>Region</t>
  </si>
  <si>
    <t>Category</t>
  </si>
  <si>
    <t>Product</t>
  </si>
  <si>
    <t>SalesRep</t>
  </si>
  <si>
    <t>Units</t>
  </si>
  <si>
    <t>UnitPrice</t>
  </si>
  <si>
    <t>Discount%</t>
  </si>
  <si>
    <t>Sales</t>
  </si>
  <si>
    <t>Profit</t>
  </si>
  <si>
    <t>CustomerType</t>
  </si>
  <si>
    <t>Rating</t>
  </si>
  <si>
    <t>ORD1001</t>
  </si>
  <si>
    <t>North</t>
  </si>
  <si>
    <t>Electronics</t>
  </si>
  <si>
    <t>Headphones</t>
  </si>
  <si>
    <t>Karan</t>
  </si>
  <si>
    <t>Retail</t>
  </si>
  <si>
    <t>ORD1002</t>
  </si>
  <si>
    <t>Furniture</t>
  </si>
  <si>
    <t>Study Table</t>
  </si>
  <si>
    <t>Ananya</t>
  </si>
  <si>
    <t>Wholesale</t>
  </si>
  <si>
    <t>ORD1003</t>
  </si>
  <si>
    <t>Sofa</t>
  </si>
  <si>
    <t>Vikram</t>
  </si>
  <si>
    <t>ORD1004</t>
  </si>
  <si>
    <t>East</t>
  </si>
  <si>
    <t>Clothing</t>
  </si>
  <si>
    <t>Cap</t>
  </si>
  <si>
    <t>Sneha</t>
  </si>
  <si>
    <t>ORD1005</t>
  </si>
  <si>
    <t>Stationery</t>
  </si>
  <si>
    <t>Pen Set</t>
  </si>
  <si>
    <t>Rohit</t>
  </si>
  <si>
    <t>ORD1006</t>
  </si>
  <si>
    <t>West</t>
  </si>
  <si>
    <t>Shoes</t>
  </si>
  <si>
    <t>ORD1007</t>
  </si>
  <si>
    <t>South</t>
  </si>
  <si>
    <t>Meera</t>
  </si>
  <si>
    <t>ORD1008</t>
  </si>
  <si>
    <t>ORD1009</t>
  </si>
  <si>
    <t>Bookshelf</t>
  </si>
  <si>
    <t>Priya</t>
  </si>
  <si>
    <t>ORD1010</t>
  </si>
  <si>
    <t>Jeans</t>
  </si>
  <si>
    <t>ORD1011</t>
  </si>
  <si>
    <t>Notebook</t>
  </si>
  <si>
    <t>ORD1012</t>
  </si>
  <si>
    <t>Backpack</t>
  </si>
  <si>
    <t>ORD1013</t>
  </si>
  <si>
    <t>ORD1014</t>
  </si>
  <si>
    <t>Arjun</t>
  </si>
  <si>
    <t>ORD1015</t>
  </si>
  <si>
    <t>Tablet</t>
  </si>
  <si>
    <t>ORD1016</t>
  </si>
  <si>
    <t>Desk Organizer</t>
  </si>
  <si>
    <t>ORD1017</t>
  </si>
  <si>
    <t>Grocery</t>
  </si>
  <si>
    <t>Spices</t>
  </si>
  <si>
    <t>ORD1018</t>
  </si>
  <si>
    <t>Laptop</t>
  </si>
  <si>
    <t>ORD1019</t>
  </si>
  <si>
    <t>Bed Frame</t>
  </si>
  <si>
    <t>ORD1020</t>
  </si>
  <si>
    <t>ORD1021</t>
  </si>
  <si>
    <t>ORD1022</t>
  </si>
  <si>
    <t>ORD1023</t>
  </si>
  <si>
    <t>Beverages</t>
  </si>
  <si>
    <t>ORD1024</t>
  </si>
  <si>
    <t>Snack Pack</t>
  </si>
  <si>
    <t>ORD1025</t>
  </si>
  <si>
    <t>ORD1026</t>
  </si>
  <si>
    <t>Smartwatch</t>
  </si>
  <si>
    <t>ORD1027</t>
  </si>
  <si>
    <t>ORD1028</t>
  </si>
  <si>
    <t>ORD1029</t>
  </si>
  <si>
    <t>ORD1030</t>
  </si>
  <si>
    <t>ORD1031</t>
  </si>
  <si>
    <t>Jacket</t>
  </si>
  <si>
    <t>ORD1032</t>
  </si>
  <si>
    <t>ORD1033</t>
  </si>
  <si>
    <t>ORD1034</t>
  </si>
  <si>
    <t>Cooking Oil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</si>
  <si>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</si>
  <si>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</si>
  <si>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</si>
  <si>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</si>
  <si>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</si>
  <si>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</si>
  <si>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</si>
  <si>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</si>
  <si>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</si>
  <si>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</si>
  <si>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</si>
  <si>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Smartphone</t>
  </si>
  <si>
    <t>ORD1046</t>
  </si>
  <si>
    <t>ORD1047</t>
  </si>
  <si>
    <t>ORD1048</t>
  </si>
  <si>
    <t>ORD1049</t>
  </si>
  <si>
    <t>ORD1050</t>
  </si>
  <si>
    <t>ORD1051</t>
  </si>
  <si>
    <t>Office Chair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</si>
  <si>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</si>
  <si>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</si>
  <si>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</si>
  <si>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</si>
  <si>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</si>
  <si>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</si>
  <si>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</si>
  <si>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</si>
  <si>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</si>
  <si>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</si>
  <si>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</si>
  <si>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</si>
  <si>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</si>
  <si>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</si>
  <si>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</si>
  <si>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</si>
  <si>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</si>
  <si>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</si>
  <si>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</si>
  <si>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</si>
  <si>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</si>
  <si>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</si>
  <si>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</si>
  <si>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</si>
  <si>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</si>
  <si>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Rice Bag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</si>
  <si>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</si>
  <si>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</si>
  <si>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</si>
  <si>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</si>
  <si>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</si>
  <si>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</si>
  <si>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</si>
  <si>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</si>
  <si>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</si>
  <si>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</si>
  <si>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</si>
  <si>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</si>
  <si>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</si>
  <si>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Marker Pack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</si>
  <si>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</si>
  <si>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</si>
  <si>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</si>
  <si>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</si>
  <si>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</si>
  <si>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</si>
  <si>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</si>
  <si>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</si>
  <si>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</si>
  <si>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</si>
  <si>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T-Shirt</t>
  </si>
  <si>
    <t>ORD1100</t>
  </si>
  <si>
    <t>Q.No</t>
  </si>
  <si>
    <t>Topic</t>
  </si>
  <si>
    <t>Question</t>
  </si>
  <si>
    <t>Your Answer (type formula here)</t>
  </si>
  <si>
    <t>IF</t>
  </si>
  <si>
    <t>In cell F2 area (use your Answer column), write a formula that returns "High" if a single order's Sales (Sales_Data!J2) is greater than 20000, otherwise "Low".</t>
  </si>
  <si>
    <t>Write a formula that checks Sales_Data!M2 (Rating) and returns "Good" if the rating is 4 or above, otherwise "Needs Improvement".</t>
  </si>
  <si>
    <t>Write a formula that returns "Wholesale Deal" if Sales_Data!L2 equals "Wholesale", otherwise "Retail Deal".</t>
  </si>
  <si>
    <t>Nested IF</t>
  </si>
  <si>
    <t>Write a nested IF formula that classifies Sales_Data!J2 (Sales) into "Small" (&lt; 5000), "Medium" (5000 to 20000), or "Large" (&gt; 20000).</t>
  </si>
  <si>
    <t>Write a nested IF formula that grades Sales_Data!M2 (Rating) as "Excellent" (5), "Good" (3 or 4), or "Poor" (1 or 2).</t>
  </si>
  <si>
    <t>Write a nested IF formula that assigns a Discount Tier to Sales_Data!I2 (Discount%): "No Discount" (0), "Low" (up to 10%), "High" (above 10%).</t>
  </si>
  <si>
    <t>IFS</t>
  </si>
  <si>
    <t>Rewrite Question 4 (Sales classification into Small/Medium/Large) using the IFS function instead of nested IF.</t>
  </si>
  <si>
    <t>Using IFS, classify Sales_Data!G2 (Units) as "Bulk Order" (&gt;=15), "Standard Order" (5 to 14), or "Small Order" (&lt;5).</t>
  </si>
  <si>
    <t>Using IFS, return the Region-wise shift label for Sales_Data!C2: "North" -&gt; "Zone A", "South" -&gt; "Zone B", "East" -&gt; "Zone C", "West" -&gt; "Zone D".</t>
  </si>
  <si>
    <t>SUMIF</t>
  </si>
  <si>
    <t>Find the total Sales for the "Electronics" category using SUMIF.</t>
  </si>
  <si>
    <t>Find the total Profit for orders placed in the "North" region using SUMIF.</t>
  </si>
  <si>
    <t>Find the total Sales for all orders with Rating equal to 5 using SUMIF.</t>
  </si>
  <si>
    <t>SUMIFS</t>
  </si>
  <si>
    <t>Find the total Sales for the "Electronics" category in the "North" region using SUMIFS.</t>
  </si>
  <si>
    <t>Find the total Profit for "Wholesale" customers with Sales greater than 10000, using SUMIFS.</t>
  </si>
  <si>
    <t>Find total Sales for orders from SalesRep "Ananya" in the "Clothing" category with a Discount% greater than 0, using SUMIFS.</t>
  </si>
  <si>
    <t>AVERAGEIF</t>
  </si>
  <si>
    <t>Find the average UnitPrice for the "Furniture" category using AVERAGEIF.</t>
  </si>
  <si>
    <t>Find the average Rating for orders from the "West" region using AVERAGEIF.</t>
  </si>
  <si>
    <t>AVERAGEIFS</t>
  </si>
  <si>
    <t>Find the average Sales for "Retail" customers in the "Grocery" category using AVERAGEIFS.</t>
  </si>
  <si>
    <t>Find the average Profit for orders in the "South" region with Units greater than 10, using AVERAGEIFS.</t>
  </si>
  <si>
    <t>COUNTIF</t>
  </si>
  <si>
    <t>Count how many orders belong to the "Stationery" category using COUNTIF.</t>
  </si>
  <si>
    <t>Count how many orders have a Rating of 5 using COUNTIF.</t>
  </si>
  <si>
    <t>Count how many orders have Sales greater than 15000 using COUNTIF.</t>
  </si>
  <si>
    <t>COUNTIFS</t>
  </si>
  <si>
    <t>Count how many "Wholesale" orders came from the "East" region using COUNTIFS.</t>
  </si>
  <si>
    <t>Count how many orders in the "Electronics" category have a Discount% greater than 10%, using COUNTIFS.</t>
  </si>
  <si>
    <t>MINIFS</t>
  </si>
  <si>
    <t>Find the minimum Sales value for the "Clothing" category using MINIFS.</t>
  </si>
  <si>
    <t>Find the minimum UnitPrice among orders from the "North" region using MINIFS.</t>
  </si>
  <si>
    <t>MAXIFS</t>
  </si>
  <si>
    <t>Find the maximum Profit for the "Electronics" category using MAXIFS.</t>
  </si>
  <si>
    <t>Find the maximum Sales value among "Wholesale" customers in the "South" region, using MAXIFS.</t>
  </si>
  <si>
    <t>Conditional Formatting Tasks</t>
  </si>
  <si>
    <t>Perform these tasks on a COPY of the Sales_Data sheet. Right-click the 'Sales_Data' tab, choose 'Move or Copy', tick 'Create a copy', and rename it 'Sales_Data_Formatted'. Apply each rule below using Home &gt; Conditional Formatting.</t>
  </si>
  <si>
    <t>Highlight the Sales column (J) in GREEN if the value is greater than 20000, and in RED if less than 5000.</t>
  </si>
  <si>
    <t>Apply a Data Bar to the Profit column (K) so you can visually compare profit across all orders.</t>
  </si>
  <si>
    <t>Apply a 3-Color Scale to the Rating column (M) so low ratings appear red and high ratings appear green.</t>
  </si>
  <si>
    <t>Use an Icon Set (3 arrows) on the Discount% column (I) to show low, medium, and high discounts.</t>
  </si>
  <si>
    <t>Highlight duplicate values in the Product column (E) using 'Highlight Cell Rules &gt; Duplicate Values'.</t>
  </si>
  <si>
    <t>Highlight the entire row in light yellow wherever CustomerType (L) = "Wholesale", using a formula-based rule (e.g. =$L2="Wholesale").</t>
  </si>
  <si>
    <t>Highlight the OrderDate cell (B) in orange for any order placed in the month of December.</t>
  </si>
  <si>
    <t>Model Answer /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</si>
</sst>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11" x14ac:knownFonts="1">
    <font>
      <sz val="11"/>
      <color theme="1"/>
      <name val="Calibri"/>
      <family val="2"/>
      <charset val="1"/>
    </font>
    <font>
      <b/>
      <sz val="16"/>
      <color rgb="FFFFFFFF"/>
      <name val="Calibri"/>
      <charset val="1"/>
    </font>
    <font>
      <b/>
      <sz val="13"/>
      <color rgb="FF1F3864"/>
      <name val="Calibri"/>
      <charset val="1"/>
    </font>
    <font>
      <sz val="11"/>
      <name val="Calibri"/>
      <charset val="1"/>
    </font>
    <font>
      <i/>
      <sz val="11"/>
      <name val="Calibri"/>
      <charset val="1"/>
    </font>
    <font>
      <sz val="10"/>
      <name val="Calibri"/>
      <charset val="1"/>
    </font>
    <font>
      <b/>
      <sz val="11"/>
      <color rgb="FFFFFFFF"/>
      <name val="Calibri"/>
      <charset val="1"/>
    </font>
    <font>
      <b/>
      <sz val="10"/>
      <color rgb="FF1F3864"/>
      <name val="Calibri"/>
      <charset val="1"/>
    </font>
    <font>
      <b/>
      <sz val="14"/>
      <color rgb="FFFFFFFF"/>
      <name val="Calibri"/>
      <charset val="1"/>
    </font>
    <font>
      <i/>
      <sz val="10"/>
      <name val="Calibri"/>
      <charset val="1"/>
    </font>
    <font>
      <b/>
      <sz val="10"/>
      <color rgb="FF375623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5FA3"/>
        <bgColor rgb="FF3366FF"/>
      </patternFill>
    </fill>
    <fill>
      <patternFill patternType="solid">
        <fgColor rgb="FFFFF2CC"/>
        <bgColor rgb="FFE2EFDA"/>
      </patternFill>
    </fill>
    <fill>
      <patternFill patternType="solid">
        <fgColor rgb="FFBF8F00"/>
        <bgColor rgb="FF808000"/>
      </patternFill>
    </fill>
    <fill>
      <patternFill patternType="solid">
        <fgColor rgb="FFE2EFDA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9" fillId="0" borderId="0" xfId="0" applyFont="1" applyAlignment="1">
      <alignment wrapText="1"/>
    </xf>
    <xf numFmtId="0" fontId="8" fillId="2" borderId="0" xfId="0" applyFont="1" applyFill="1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164" fontId="5" fillId="0" borderId="1" xfId="0" applyNumberFormat="1" applyFont="1" applyBorder="1"/>
    <xf numFmtId="4" fontId="5" fillId="0" borderId="1" xfId="0" applyNumberFormat="1" applyFont="1" applyBorder="1"/>
    <xf numFmtId="9" fontId="5" fillId="0" borderId="1" xfId="0" applyNumberFormat="1" applyFont="1" applyBorder="1"/>
    <xf numFmtId="0" fontId="6" fillId="3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5" fillId="0" borderId="1" xfId="0" applyFont="1" applyBorder="1" applyAlignment="1">
      <alignment vertical="center" wrapText="1"/>
    </xf>
    <xf numFmtId="0" fontId="5" fillId="4" borderId="1" xfId="0" applyFont="1" applyFill="1" applyBorder="1"/>
    <xf numFmtId="0" fontId="5" fillId="0" borderId="1" xfId="0" applyFont="1" applyBorder="1" applyAlignment="1">
      <alignment horizontal="center" vertical="top"/>
    </xf>
    <xf numFmtId="0" fontId="6" fillId="5" borderId="0" xfId="0" applyFont="1" applyFill="1" applyAlignment="1">
      <alignment horizontal="center" vertical="center" wrapText="1"/>
    </xf>
    <xf numFmtId="0" fontId="10" fillId="6" borderId="1" xfId="0" applyFont="1" applyFill="1" applyBorder="1"/>
  </cellXfs>
  <cellStyles count="1">
    <cellStyle name="Normal" xfId="0" builtinId="0"/>
  </cellStyles>
  <dxfs count="12"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2E5FA3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00"/>
      <color rgb="FFCDCBB7"/>
      <color rgb="FFFF000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6"/>
  <sheetViews>
    <sheetView showGridLines="0" topLeftCell="A9" zoomScaleNormal="100" workbookViewId="0"/>
  </sheetViews>
  <sheetFormatPr defaultColWidth="8.6640625" defaultRowHeight="14.4" x14ac:dyDescent="0.3"/>
  <cols>
    <col min="1" max="1" width="3" customWidth="1"/>
    <col min="2" max="2" width="100" customWidth="1"/>
  </cols>
  <sheetData>
    <row r="2" spans="2:2" ht="30" customHeight="1" x14ac:dyDescent="0.3">
      <c r="B2" s="3" t="s">
        <v>0</v>
      </c>
    </row>
    <row r="3" spans="2:2" x14ac:dyDescent="0.3">
      <c r="B3" s="3"/>
    </row>
    <row r="5" spans="2:2" ht="17.399999999999999" x14ac:dyDescent="0.35">
      <c r="B5" s="4" t="s">
        <v>1</v>
      </c>
    </row>
    <row r="6" spans="2:2" x14ac:dyDescent="0.3">
      <c r="B6" s="5" t="s">
        <v>2</v>
      </c>
    </row>
    <row r="7" spans="2:2" x14ac:dyDescent="0.3">
      <c r="B7" s="5" t="s">
        <v>3</v>
      </c>
    </row>
    <row r="8" spans="2:2" x14ac:dyDescent="0.3">
      <c r="B8" s="5" t="s">
        <v>4</v>
      </c>
    </row>
    <row r="9" spans="2:2" x14ac:dyDescent="0.3">
      <c r="B9" s="5" t="s">
        <v>5</v>
      </c>
    </row>
    <row r="10" spans="2:2" x14ac:dyDescent="0.3">
      <c r="B10" s="5" t="s">
        <v>6</v>
      </c>
    </row>
    <row r="11" spans="2:2" x14ac:dyDescent="0.3">
      <c r="B11" s="5" t="s">
        <v>7</v>
      </c>
    </row>
    <row r="12" spans="2:2" x14ac:dyDescent="0.3">
      <c r="B12" s="5" t="s">
        <v>8</v>
      </c>
    </row>
    <row r="13" spans="2:2" x14ac:dyDescent="0.3">
      <c r="B13" s="5" t="s">
        <v>9</v>
      </c>
    </row>
    <row r="15" spans="2:2" ht="17.399999999999999" x14ac:dyDescent="0.35">
      <c r="B15" s="4" t="s">
        <v>10</v>
      </c>
    </row>
    <row r="16" spans="2:2" x14ac:dyDescent="0.3">
      <c r="B16" s="6" t="s">
        <v>11</v>
      </c>
    </row>
    <row r="17" spans="2:2" x14ac:dyDescent="0.3">
      <c r="B17" s="6" t="s">
        <v>12</v>
      </c>
    </row>
    <row r="18" spans="2:2" x14ac:dyDescent="0.3">
      <c r="B18" s="6" t="s">
        <v>13</v>
      </c>
    </row>
    <row r="19" spans="2:2" ht="28.8" x14ac:dyDescent="0.3">
      <c r="B19" s="6" t="s">
        <v>14</v>
      </c>
    </row>
    <row r="20" spans="2:2" x14ac:dyDescent="0.3">
      <c r="B20" s="6" t="s">
        <v>15</v>
      </c>
    </row>
    <row r="21" spans="2:2" x14ac:dyDescent="0.3">
      <c r="B21" s="6" t="s">
        <v>16</v>
      </c>
    </row>
    <row r="22" spans="2:2" x14ac:dyDescent="0.3">
      <c r="B22" s="6" t="s">
        <v>17</v>
      </c>
    </row>
    <row r="24" spans="2:2" ht="17.399999999999999" x14ac:dyDescent="0.35">
      <c r="B24" s="4" t="s">
        <v>18</v>
      </c>
    </row>
    <row r="25" spans="2:2" x14ac:dyDescent="0.3">
      <c r="B25" s="7" t="s">
        <v>19</v>
      </c>
    </row>
    <row r="26" spans="2:2" x14ac:dyDescent="0.3">
      <c r="B26" s="7" t="s">
        <v>20</v>
      </c>
    </row>
  </sheetData>
  <mergeCells count="1">
    <mergeCell ref="B2:B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C7C6F-EF1B-43F0-A8B3-3B040026C941}">
  <dimension ref="A1:M101"/>
  <sheetViews>
    <sheetView tabSelected="1" zoomScaleNormal="100" workbookViewId="0">
      <pane ySplit="1" topLeftCell="A2" activePane="bottomLeft" state="frozen"/>
      <selection pane="bottomLeft" activeCell="P29" sqref="P29"/>
    </sheetView>
  </sheetViews>
  <sheetFormatPr defaultColWidth="8.6640625" defaultRowHeight="14.4" x14ac:dyDescent="0.3"/>
  <cols>
    <col min="1" max="1" width="10" customWidth="1"/>
    <col min="2" max="2" width="13" customWidth="1"/>
    <col min="3" max="3" width="10" customWidth="1"/>
    <col min="4" max="4" width="12" customWidth="1"/>
    <col min="5" max="5" width="15" customWidth="1"/>
    <col min="6" max="6" width="11" customWidth="1"/>
    <col min="7" max="7" width="8" customWidth="1"/>
    <col min="8" max="8" width="12" customWidth="1"/>
    <col min="9" max="9" width="10" customWidth="1"/>
    <col min="10" max="10" width="13" customWidth="1"/>
    <col min="11" max="11" width="12" customWidth="1"/>
    <col min="12" max="12" width="13" customWidth="1"/>
    <col min="13" max="13" width="8" customWidth="1"/>
  </cols>
  <sheetData>
    <row r="1" spans="1:13" x14ac:dyDescent="0.3">
      <c r="A1" s="8" t="s">
        <v>21</v>
      </c>
      <c r="B1" s="8" t="s">
        <v>22</v>
      </c>
      <c r="C1" s="8" t="s">
        <v>23</v>
      </c>
      <c r="D1" s="8" t="s">
        <v>24</v>
      </c>
      <c r="E1" s="8" t="s">
        <v>25</v>
      </c>
      <c r="F1" s="8" t="s">
        <v>26</v>
      </c>
      <c r="G1" s="8" t="s">
        <v>27</v>
      </c>
      <c r="H1" s="8" t="s">
        <v>28</v>
      </c>
      <c r="I1" s="8" t="s">
        <v>29</v>
      </c>
      <c r="J1" s="8" t="s">
        <v>30</v>
      </c>
      <c r="K1" s="8" t="s">
        <v>31</v>
      </c>
      <c r="L1" s="8" t="s">
        <v>32</v>
      </c>
      <c r="M1" s="8" t="s">
        <v>33</v>
      </c>
    </row>
    <row r="2" spans="1:13" x14ac:dyDescent="0.3">
      <c r="A2" s="9" t="s">
        <v>34</v>
      </c>
      <c r="B2" s="10">
        <v>45985</v>
      </c>
      <c r="C2" s="9" t="s">
        <v>35</v>
      </c>
      <c r="D2" s="9" t="s">
        <v>36</v>
      </c>
      <c r="E2" s="9" t="s">
        <v>37</v>
      </c>
      <c r="F2" s="9" t="s">
        <v>38</v>
      </c>
      <c r="G2" s="9">
        <v>8</v>
      </c>
      <c r="H2" s="11">
        <v>6408.28</v>
      </c>
      <c r="I2" s="12">
        <v>0</v>
      </c>
      <c r="J2" s="11">
        <f t="shared" ref="J2:J65" si="0">G2*H2*(1-I2)</f>
        <v>51266.239999999998</v>
      </c>
      <c r="K2" s="11">
        <f>ROUND(J2*0.194,2)</f>
        <v>9945.65</v>
      </c>
      <c r="L2" s="9" t="s">
        <v>39</v>
      </c>
      <c r="M2" s="9">
        <v>5</v>
      </c>
    </row>
    <row r="3" spans="1:13" x14ac:dyDescent="0.3">
      <c r="A3" s="9" t="s">
        <v>40</v>
      </c>
      <c r="B3" s="10">
        <v>45673</v>
      </c>
      <c r="C3" s="9" t="s">
        <v>35</v>
      </c>
      <c r="D3" s="9" t="s">
        <v>41</v>
      </c>
      <c r="E3" s="9" t="s">
        <v>42</v>
      </c>
      <c r="F3" s="9" t="s">
        <v>43</v>
      </c>
      <c r="G3" s="9">
        <v>18</v>
      </c>
      <c r="H3" s="11">
        <v>2029.89</v>
      </c>
      <c r="I3" s="12">
        <v>0.15</v>
      </c>
      <c r="J3" s="11">
        <f t="shared" si="0"/>
        <v>31057.317000000003</v>
      </c>
      <c r="K3" s="11">
        <f>ROUND(J3*0.201,2)</f>
        <v>6242.52</v>
      </c>
      <c r="L3" s="9" t="s">
        <v>44</v>
      </c>
      <c r="M3" s="9">
        <v>2</v>
      </c>
    </row>
    <row r="4" spans="1:13" x14ac:dyDescent="0.3">
      <c r="A4" s="9" t="s">
        <v>45</v>
      </c>
      <c r="B4" s="10">
        <v>45800</v>
      </c>
      <c r="C4" s="9" t="s">
        <v>35</v>
      </c>
      <c r="D4" s="9" t="s">
        <v>41</v>
      </c>
      <c r="E4" s="9" t="s">
        <v>46</v>
      </c>
      <c r="F4" s="9" t="s">
        <v>47</v>
      </c>
      <c r="G4" s="9">
        <v>9</v>
      </c>
      <c r="H4" s="11">
        <v>1652.67</v>
      </c>
      <c r="I4" s="12">
        <v>0.2</v>
      </c>
      <c r="J4" s="11">
        <f t="shared" si="0"/>
        <v>11899.224000000002</v>
      </c>
      <c r="K4" s="11">
        <f>ROUND(J4*0.105,2)</f>
        <v>1249.42</v>
      </c>
      <c r="L4" s="9" t="s">
        <v>44</v>
      </c>
      <c r="M4" s="9">
        <v>1</v>
      </c>
    </row>
    <row r="5" spans="1:13" x14ac:dyDescent="0.3">
      <c r="A5" s="9" t="s">
        <v>48</v>
      </c>
      <c r="B5" s="10">
        <v>45707</v>
      </c>
      <c r="C5" s="9" t="s">
        <v>49</v>
      </c>
      <c r="D5" s="9" t="s">
        <v>50</v>
      </c>
      <c r="E5" s="9" t="s">
        <v>51</v>
      </c>
      <c r="F5" s="9" t="s">
        <v>52</v>
      </c>
      <c r="G5" s="9">
        <v>2</v>
      </c>
      <c r="H5" s="11">
        <v>2594.6</v>
      </c>
      <c r="I5" s="12">
        <v>0.1</v>
      </c>
      <c r="J5" s="11">
        <f t="shared" si="0"/>
        <v>4670.28</v>
      </c>
      <c r="K5" s="11">
        <f>ROUND(J5*0.101,2)</f>
        <v>471.7</v>
      </c>
      <c r="L5" s="9" t="s">
        <v>39</v>
      </c>
      <c r="M5" s="9">
        <v>4</v>
      </c>
    </row>
    <row r="6" spans="1:13" x14ac:dyDescent="0.3">
      <c r="A6" s="9" t="s">
        <v>53</v>
      </c>
      <c r="B6" s="10">
        <v>45808</v>
      </c>
      <c r="C6" s="9" t="s">
        <v>49</v>
      </c>
      <c r="D6" s="9" t="s">
        <v>54</v>
      </c>
      <c r="E6" s="9" t="s">
        <v>55</v>
      </c>
      <c r="F6" s="9" t="s">
        <v>56</v>
      </c>
      <c r="G6" s="9">
        <v>2</v>
      </c>
      <c r="H6" s="11">
        <v>2365.23</v>
      </c>
      <c r="I6" s="12">
        <v>0.2</v>
      </c>
      <c r="J6" s="11">
        <f t="shared" si="0"/>
        <v>3784.3680000000004</v>
      </c>
      <c r="K6" s="11">
        <f>ROUND(J6*0.311,2)</f>
        <v>1176.94</v>
      </c>
      <c r="L6" s="9" t="s">
        <v>44</v>
      </c>
      <c r="M6" s="9">
        <v>1</v>
      </c>
    </row>
    <row r="7" spans="1:13" x14ac:dyDescent="0.3">
      <c r="A7" s="9" t="s">
        <v>57</v>
      </c>
      <c r="B7" s="10">
        <v>45709</v>
      </c>
      <c r="C7" s="9" t="s">
        <v>58</v>
      </c>
      <c r="D7" s="9" t="s">
        <v>50</v>
      </c>
      <c r="E7" s="9" t="s">
        <v>59</v>
      </c>
      <c r="F7" s="9" t="s">
        <v>47</v>
      </c>
      <c r="G7" s="9">
        <v>6</v>
      </c>
      <c r="H7" s="11">
        <v>1390.11</v>
      </c>
      <c r="I7" s="12">
        <v>0</v>
      </c>
      <c r="J7" s="11">
        <f t="shared" si="0"/>
        <v>8340.66</v>
      </c>
      <c r="K7" s="11">
        <f>ROUND(J7*0.244,2)</f>
        <v>2035.12</v>
      </c>
      <c r="L7" s="9" t="s">
        <v>44</v>
      </c>
      <c r="M7" s="9">
        <v>1</v>
      </c>
    </row>
    <row r="8" spans="1:13" x14ac:dyDescent="0.3">
      <c r="A8" s="9" t="s">
        <v>60</v>
      </c>
      <c r="B8" s="10">
        <v>45745</v>
      </c>
      <c r="C8" s="9" t="s">
        <v>61</v>
      </c>
      <c r="D8" s="9" t="s">
        <v>41</v>
      </c>
      <c r="E8" s="9" t="s">
        <v>46</v>
      </c>
      <c r="F8" s="9" t="s">
        <v>62</v>
      </c>
      <c r="G8" s="9">
        <v>9</v>
      </c>
      <c r="H8" s="11">
        <v>8908.85</v>
      </c>
      <c r="I8" s="12">
        <v>0.15</v>
      </c>
      <c r="J8" s="11">
        <f t="shared" si="0"/>
        <v>68152.702499999999</v>
      </c>
      <c r="K8" s="11">
        <f>ROUND(J8*0.308,2)</f>
        <v>20991.03</v>
      </c>
      <c r="L8" s="9" t="s">
        <v>39</v>
      </c>
      <c r="M8" s="9">
        <v>3</v>
      </c>
    </row>
    <row r="9" spans="1:13" x14ac:dyDescent="0.3">
      <c r="A9" s="9" t="s">
        <v>63</v>
      </c>
      <c r="B9" s="10">
        <v>45686</v>
      </c>
      <c r="C9" s="9" t="s">
        <v>61</v>
      </c>
      <c r="D9" s="9" t="s">
        <v>36</v>
      </c>
      <c r="E9" s="9" t="s">
        <v>37</v>
      </c>
      <c r="F9" s="9" t="s">
        <v>62</v>
      </c>
      <c r="G9" s="9">
        <v>9</v>
      </c>
      <c r="H9" s="11">
        <v>3118.56</v>
      </c>
      <c r="I9" s="12">
        <v>0.1</v>
      </c>
      <c r="J9" s="11">
        <f t="shared" si="0"/>
        <v>25260.336000000003</v>
      </c>
      <c r="K9" s="11">
        <f>ROUND(J9*0.257,2)</f>
        <v>6491.91</v>
      </c>
      <c r="L9" s="9" t="s">
        <v>44</v>
      </c>
      <c r="M9" s="9">
        <v>2</v>
      </c>
    </row>
    <row r="10" spans="1:13" x14ac:dyDescent="0.3">
      <c r="A10" s="9" t="s">
        <v>64</v>
      </c>
      <c r="B10" s="10">
        <v>45860</v>
      </c>
      <c r="C10" s="9" t="s">
        <v>58</v>
      </c>
      <c r="D10" s="9" t="s">
        <v>41</v>
      </c>
      <c r="E10" s="9" t="s">
        <v>65</v>
      </c>
      <c r="F10" s="9" t="s">
        <v>66</v>
      </c>
      <c r="G10" s="9">
        <v>8</v>
      </c>
      <c r="H10" s="11">
        <v>6781.4</v>
      </c>
      <c r="I10" s="12">
        <v>0.1</v>
      </c>
      <c r="J10" s="11">
        <f t="shared" si="0"/>
        <v>48826.080000000002</v>
      </c>
      <c r="K10" s="11">
        <f>ROUND(J10*0.196,2)</f>
        <v>9569.91</v>
      </c>
      <c r="L10" s="9" t="s">
        <v>44</v>
      </c>
      <c r="M10" s="9">
        <v>5</v>
      </c>
    </row>
    <row r="11" spans="1:13" x14ac:dyDescent="0.3">
      <c r="A11" s="9" t="s">
        <v>67</v>
      </c>
      <c r="B11" s="10">
        <v>45956</v>
      </c>
      <c r="C11" s="9" t="s">
        <v>58</v>
      </c>
      <c r="D11" s="9" t="s">
        <v>50</v>
      </c>
      <c r="E11" s="9" t="s">
        <v>68</v>
      </c>
      <c r="F11" s="9" t="s">
        <v>66</v>
      </c>
      <c r="G11" s="9">
        <v>17</v>
      </c>
      <c r="H11" s="11">
        <v>1803.28</v>
      </c>
      <c r="I11" s="12">
        <v>0.2</v>
      </c>
      <c r="J11" s="11">
        <f t="shared" si="0"/>
        <v>24524.608</v>
      </c>
      <c r="K11" s="11">
        <f>ROUND(J11*0.121,2)</f>
        <v>2967.48</v>
      </c>
      <c r="L11" s="9" t="s">
        <v>39</v>
      </c>
      <c r="M11" s="9">
        <v>1</v>
      </c>
    </row>
    <row r="12" spans="1:13" x14ac:dyDescent="0.3">
      <c r="A12" s="9" t="s">
        <v>69</v>
      </c>
      <c r="B12" s="10">
        <v>45739</v>
      </c>
      <c r="C12" s="9" t="s">
        <v>58</v>
      </c>
      <c r="D12" s="9" t="s">
        <v>54</v>
      </c>
      <c r="E12" s="9" t="s">
        <v>70</v>
      </c>
      <c r="F12" s="9" t="s">
        <v>62</v>
      </c>
      <c r="G12" s="9">
        <v>13</v>
      </c>
      <c r="H12" s="11">
        <v>2146.23</v>
      </c>
      <c r="I12" s="12">
        <v>0.1</v>
      </c>
      <c r="J12" s="11">
        <f t="shared" si="0"/>
        <v>25110.891000000003</v>
      </c>
      <c r="K12" s="11">
        <f>ROUND(J12*0.312,2)</f>
        <v>7834.6</v>
      </c>
      <c r="L12" s="9" t="s">
        <v>44</v>
      </c>
      <c r="M12" s="9">
        <v>5</v>
      </c>
    </row>
    <row r="13" spans="1:13" x14ac:dyDescent="0.3">
      <c r="A13" s="9" t="s">
        <v>71</v>
      </c>
      <c r="B13" s="10">
        <v>45663</v>
      </c>
      <c r="C13" s="9" t="s">
        <v>35</v>
      </c>
      <c r="D13" s="9" t="s">
        <v>54</v>
      </c>
      <c r="E13" s="9" t="s">
        <v>72</v>
      </c>
      <c r="F13" s="9" t="s">
        <v>47</v>
      </c>
      <c r="G13" s="9">
        <v>4</v>
      </c>
      <c r="H13" s="11">
        <v>1133.23</v>
      </c>
      <c r="I13" s="12">
        <v>0</v>
      </c>
      <c r="J13" s="11">
        <f t="shared" si="0"/>
        <v>4532.92</v>
      </c>
      <c r="K13" s="11">
        <f>ROUND(J13*0.338,2)</f>
        <v>1532.13</v>
      </c>
      <c r="L13" s="9" t="s">
        <v>44</v>
      </c>
      <c r="M13" s="9">
        <v>1</v>
      </c>
    </row>
    <row r="14" spans="1:13" x14ac:dyDescent="0.3">
      <c r="A14" s="9" t="s">
        <v>73</v>
      </c>
      <c r="B14" s="10">
        <v>45792</v>
      </c>
      <c r="C14" s="9" t="s">
        <v>61</v>
      </c>
      <c r="D14" s="9" t="s">
        <v>54</v>
      </c>
      <c r="E14" s="9" t="s">
        <v>70</v>
      </c>
      <c r="F14" s="9" t="s">
        <v>52</v>
      </c>
      <c r="G14" s="9">
        <v>21</v>
      </c>
      <c r="H14" s="11">
        <v>1850.67</v>
      </c>
      <c r="I14" s="12">
        <v>0</v>
      </c>
      <c r="J14" s="11">
        <f t="shared" si="0"/>
        <v>38864.07</v>
      </c>
      <c r="K14" s="11">
        <f>ROUND(J14*0.286,2)</f>
        <v>11115.12</v>
      </c>
      <c r="L14" s="9" t="s">
        <v>39</v>
      </c>
      <c r="M14" s="9">
        <v>3</v>
      </c>
    </row>
    <row r="15" spans="1:13" x14ac:dyDescent="0.3">
      <c r="A15" s="9" t="s">
        <v>74</v>
      </c>
      <c r="B15" s="10">
        <v>45934</v>
      </c>
      <c r="C15" s="9" t="s">
        <v>35</v>
      </c>
      <c r="D15" s="9" t="s">
        <v>54</v>
      </c>
      <c r="E15" s="9" t="s">
        <v>72</v>
      </c>
      <c r="F15" s="9" t="s">
        <v>75</v>
      </c>
      <c r="G15" s="9">
        <v>1</v>
      </c>
      <c r="H15" s="11">
        <v>524.76</v>
      </c>
      <c r="I15" s="12">
        <v>0.05</v>
      </c>
      <c r="J15" s="11">
        <f t="shared" si="0"/>
        <v>498.52199999999999</v>
      </c>
      <c r="K15" s="11">
        <f>ROUND(J15*0.096,2)</f>
        <v>47.86</v>
      </c>
      <c r="L15" s="9" t="s">
        <v>44</v>
      </c>
      <c r="M15" s="9">
        <v>2</v>
      </c>
    </row>
    <row r="16" spans="1:13" x14ac:dyDescent="0.3">
      <c r="A16" s="9" t="s">
        <v>76</v>
      </c>
      <c r="B16" s="10">
        <v>45948</v>
      </c>
      <c r="C16" s="9" t="s">
        <v>35</v>
      </c>
      <c r="D16" s="9" t="s">
        <v>36</v>
      </c>
      <c r="E16" s="9" t="s">
        <v>77</v>
      </c>
      <c r="F16" s="9" t="s">
        <v>56</v>
      </c>
      <c r="G16" s="9">
        <v>25</v>
      </c>
      <c r="H16" s="11">
        <v>24041.87</v>
      </c>
      <c r="I16" s="12">
        <v>0</v>
      </c>
      <c r="J16" s="11">
        <f t="shared" si="0"/>
        <v>601046.75</v>
      </c>
      <c r="K16" s="11">
        <f>ROUND(J16*0.336,2)</f>
        <v>201951.71</v>
      </c>
      <c r="L16" s="9" t="s">
        <v>39</v>
      </c>
      <c r="M16" s="9">
        <v>4</v>
      </c>
    </row>
    <row r="17" spans="1:13" x14ac:dyDescent="0.3">
      <c r="A17" s="9" t="s">
        <v>78</v>
      </c>
      <c r="B17" s="10">
        <v>45742</v>
      </c>
      <c r="C17" s="9" t="s">
        <v>49</v>
      </c>
      <c r="D17" s="9" t="s">
        <v>54</v>
      </c>
      <c r="E17" s="9" t="s">
        <v>79</v>
      </c>
      <c r="F17" s="9" t="s">
        <v>62</v>
      </c>
      <c r="G17" s="9">
        <v>7</v>
      </c>
      <c r="H17" s="11">
        <v>3261.86</v>
      </c>
      <c r="I17" s="12">
        <v>0.2</v>
      </c>
      <c r="J17" s="11">
        <f t="shared" si="0"/>
        <v>18266.416000000001</v>
      </c>
      <c r="K17" s="11">
        <f>ROUND(J17*0.188,2)</f>
        <v>3434.09</v>
      </c>
      <c r="L17" s="9" t="s">
        <v>39</v>
      </c>
      <c r="M17" s="9">
        <v>3</v>
      </c>
    </row>
    <row r="18" spans="1:13" x14ac:dyDescent="0.3">
      <c r="A18" s="9" t="s">
        <v>80</v>
      </c>
      <c r="B18" s="10">
        <v>46001</v>
      </c>
      <c r="C18" s="9" t="s">
        <v>49</v>
      </c>
      <c r="D18" s="9" t="s">
        <v>81</v>
      </c>
      <c r="E18" s="9" t="s">
        <v>82</v>
      </c>
      <c r="F18" s="9" t="s">
        <v>75</v>
      </c>
      <c r="G18" s="9">
        <v>4</v>
      </c>
      <c r="H18" s="11">
        <v>980.48</v>
      </c>
      <c r="I18" s="12">
        <v>0</v>
      </c>
      <c r="J18" s="11">
        <f t="shared" si="0"/>
        <v>3921.92</v>
      </c>
      <c r="K18" s="11">
        <f>ROUND(J18*0.239,2)</f>
        <v>937.34</v>
      </c>
      <c r="L18" s="9" t="s">
        <v>44</v>
      </c>
      <c r="M18" s="9">
        <v>1</v>
      </c>
    </row>
    <row r="19" spans="1:13" x14ac:dyDescent="0.3">
      <c r="A19" s="9" t="s">
        <v>83</v>
      </c>
      <c r="B19" s="10">
        <v>45775</v>
      </c>
      <c r="C19" s="9" t="s">
        <v>61</v>
      </c>
      <c r="D19" s="9" t="s">
        <v>36</v>
      </c>
      <c r="E19" s="9" t="s">
        <v>84</v>
      </c>
      <c r="F19" s="9" t="s">
        <v>43</v>
      </c>
      <c r="G19" s="9">
        <v>8</v>
      </c>
      <c r="H19" s="11">
        <v>3172.9</v>
      </c>
      <c r="I19" s="12">
        <v>0</v>
      </c>
      <c r="J19" s="11">
        <f t="shared" si="0"/>
        <v>25383.200000000001</v>
      </c>
      <c r="K19" s="11">
        <f>ROUND(J19*0.219,2)</f>
        <v>5558.92</v>
      </c>
      <c r="L19" s="9" t="s">
        <v>44</v>
      </c>
      <c r="M19" s="9">
        <v>1</v>
      </c>
    </row>
    <row r="20" spans="1:13" x14ac:dyDescent="0.3">
      <c r="A20" s="9" t="s">
        <v>85</v>
      </c>
      <c r="B20" s="10">
        <v>45800</v>
      </c>
      <c r="C20" s="9" t="s">
        <v>58</v>
      </c>
      <c r="D20" s="9" t="s">
        <v>41</v>
      </c>
      <c r="E20" s="9" t="s">
        <v>86</v>
      </c>
      <c r="F20" s="9" t="s">
        <v>66</v>
      </c>
      <c r="G20" s="9">
        <v>24</v>
      </c>
      <c r="H20" s="11">
        <v>8438.9699999999993</v>
      </c>
      <c r="I20" s="12">
        <v>0.1</v>
      </c>
      <c r="J20" s="11">
        <f t="shared" si="0"/>
        <v>182281.75199999998</v>
      </c>
      <c r="K20" s="11">
        <f>ROUND(J20*0.292,2)</f>
        <v>53226.27</v>
      </c>
      <c r="L20" s="9" t="s">
        <v>44</v>
      </c>
      <c r="M20" s="9">
        <v>2</v>
      </c>
    </row>
    <row r="21" spans="1:13" x14ac:dyDescent="0.3">
      <c r="A21" s="9" t="s">
        <v>87</v>
      </c>
      <c r="B21" s="10">
        <v>45866</v>
      </c>
      <c r="C21" s="9" t="s">
        <v>61</v>
      </c>
      <c r="D21" s="9" t="s">
        <v>36</v>
      </c>
      <c r="E21" s="9" t="s">
        <v>84</v>
      </c>
      <c r="F21" s="9" t="s">
        <v>62</v>
      </c>
      <c r="G21" s="9">
        <v>12</v>
      </c>
      <c r="H21" s="11">
        <v>19147.5</v>
      </c>
      <c r="I21" s="12">
        <v>0.1</v>
      </c>
      <c r="J21" s="11">
        <f t="shared" si="0"/>
        <v>206793</v>
      </c>
      <c r="K21" s="11">
        <f>ROUND(J21*0.096,2)</f>
        <v>19852.13</v>
      </c>
      <c r="L21" s="9" t="s">
        <v>39</v>
      </c>
      <c r="M21" s="9">
        <v>1</v>
      </c>
    </row>
    <row r="22" spans="1:13" x14ac:dyDescent="0.3">
      <c r="A22" s="9" t="s">
        <v>88</v>
      </c>
      <c r="B22" s="10">
        <v>45831</v>
      </c>
      <c r="C22" s="9" t="s">
        <v>35</v>
      </c>
      <c r="D22" s="9" t="s">
        <v>41</v>
      </c>
      <c r="E22" s="9" t="s">
        <v>42</v>
      </c>
      <c r="F22" s="9" t="s">
        <v>38</v>
      </c>
      <c r="G22" s="9">
        <v>18</v>
      </c>
      <c r="H22" s="11">
        <v>4202.9399999999996</v>
      </c>
      <c r="I22" s="12">
        <v>0.1</v>
      </c>
      <c r="J22" s="11">
        <f t="shared" si="0"/>
        <v>68087.627999999997</v>
      </c>
      <c r="K22" s="11">
        <f>ROUND(J22*0.205,2)</f>
        <v>13957.96</v>
      </c>
      <c r="L22" s="9" t="s">
        <v>39</v>
      </c>
      <c r="M22" s="9">
        <v>3</v>
      </c>
    </row>
    <row r="23" spans="1:13" x14ac:dyDescent="0.3">
      <c r="A23" s="9" t="s">
        <v>89</v>
      </c>
      <c r="B23" s="10">
        <v>45696</v>
      </c>
      <c r="C23" s="9" t="s">
        <v>58</v>
      </c>
      <c r="D23" s="9" t="s">
        <v>54</v>
      </c>
      <c r="E23" s="9" t="s">
        <v>70</v>
      </c>
      <c r="F23" s="9" t="s">
        <v>43</v>
      </c>
      <c r="G23" s="9">
        <v>21</v>
      </c>
      <c r="H23" s="11">
        <v>3497.6</v>
      </c>
      <c r="I23" s="12">
        <v>0.2</v>
      </c>
      <c r="J23" s="11">
        <f t="shared" si="0"/>
        <v>58759.679999999993</v>
      </c>
      <c r="K23" s="11">
        <f>ROUND(J23*0.33,2)</f>
        <v>19390.689999999999</v>
      </c>
      <c r="L23" s="9" t="s">
        <v>39</v>
      </c>
      <c r="M23" s="9">
        <v>1</v>
      </c>
    </row>
    <row r="24" spans="1:13" x14ac:dyDescent="0.3">
      <c r="A24" s="9" t="s">
        <v>90</v>
      </c>
      <c r="B24" s="10">
        <v>45779</v>
      </c>
      <c r="C24" s="9" t="s">
        <v>61</v>
      </c>
      <c r="D24" s="9" t="s">
        <v>81</v>
      </c>
      <c r="E24" s="9" t="s">
        <v>91</v>
      </c>
      <c r="F24" s="9" t="s">
        <v>75</v>
      </c>
      <c r="G24" s="9">
        <v>7</v>
      </c>
      <c r="H24" s="11">
        <v>3046.58</v>
      </c>
      <c r="I24" s="12">
        <v>0</v>
      </c>
      <c r="J24" s="11">
        <f t="shared" si="0"/>
        <v>21326.059999999998</v>
      </c>
      <c r="K24" s="11">
        <f>ROUND(J24*0.081,2)</f>
        <v>1727.41</v>
      </c>
      <c r="L24" s="9" t="s">
        <v>39</v>
      </c>
      <c r="M24" s="9">
        <v>4</v>
      </c>
    </row>
    <row r="25" spans="1:13" x14ac:dyDescent="0.3">
      <c r="A25" s="9" t="s">
        <v>92</v>
      </c>
      <c r="B25" s="10">
        <v>45857</v>
      </c>
      <c r="C25" s="9" t="s">
        <v>49</v>
      </c>
      <c r="D25" s="9" t="s">
        <v>81</v>
      </c>
      <c r="E25" s="9" t="s">
        <v>93</v>
      </c>
      <c r="F25" s="9" t="s">
        <v>62</v>
      </c>
      <c r="G25" s="9">
        <v>23</v>
      </c>
      <c r="H25" s="11">
        <v>3357.01</v>
      </c>
      <c r="I25" s="12">
        <v>0.2</v>
      </c>
      <c r="J25" s="11">
        <f t="shared" si="0"/>
        <v>61768.984000000011</v>
      </c>
      <c r="K25" s="11">
        <f>ROUND(J25*0.131,2)</f>
        <v>8091.74</v>
      </c>
      <c r="L25" s="9" t="s">
        <v>44</v>
      </c>
      <c r="M25" s="9">
        <v>2</v>
      </c>
    </row>
    <row r="26" spans="1:13" x14ac:dyDescent="0.3">
      <c r="A26" s="9" t="s">
        <v>94</v>
      </c>
      <c r="B26" s="10">
        <v>45769</v>
      </c>
      <c r="C26" s="9" t="s">
        <v>35</v>
      </c>
      <c r="D26" s="9" t="s">
        <v>54</v>
      </c>
      <c r="E26" s="9" t="s">
        <v>79</v>
      </c>
      <c r="F26" s="9" t="s">
        <v>43</v>
      </c>
      <c r="G26" s="9">
        <v>24</v>
      </c>
      <c r="H26" s="11">
        <v>1200.58</v>
      </c>
      <c r="I26" s="12">
        <v>0</v>
      </c>
      <c r="J26" s="11">
        <f t="shared" si="0"/>
        <v>28813.919999999998</v>
      </c>
      <c r="K26" s="11">
        <f>ROUND(J26*0.328,2)</f>
        <v>9450.9699999999993</v>
      </c>
      <c r="L26" s="9" t="s">
        <v>44</v>
      </c>
      <c r="M26" s="9">
        <v>5</v>
      </c>
    </row>
    <row r="27" spans="1:13" x14ac:dyDescent="0.3">
      <c r="A27" s="9" t="s">
        <v>95</v>
      </c>
      <c r="B27" s="10">
        <v>45929</v>
      </c>
      <c r="C27" s="9" t="s">
        <v>61</v>
      </c>
      <c r="D27" s="9" t="s">
        <v>36</v>
      </c>
      <c r="E27" s="9" t="s">
        <v>96</v>
      </c>
      <c r="F27" s="9" t="s">
        <v>56</v>
      </c>
      <c r="G27" s="9">
        <v>6</v>
      </c>
      <c r="H27" s="11">
        <v>3223.18</v>
      </c>
      <c r="I27" s="12">
        <v>0</v>
      </c>
      <c r="J27" s="11">
        <f t="shared" si="0"/>
        <v>19339.079999999998</v>
      </c>
      <c r="K27" s="11">
        <f>ROUND(J27*0.112,2)</f>
        <v>2165.98</v>
      </c>
      <c r="L27" s="9" t="s">
        <v>39</v>
      </c>
      <c r="M27" s="9">
        <v>4</v>
      </c>
    </row>
    <row r="28" spans="1:13" x14ac:dyDescent="0.3">
      <c r="A28" s="9" t="s">
        <v>97</v>
      </c>
      <c r="B28" s="10">
        <v>45949</v>
      </c>
      <c r="C28" s="9" t="s">
        <v>61</v>
      </c>
      <c r="D28" s="9" t="s">
        <v>54</v>
      </c>
      <c r="E28" s="9" t="s">
        <v>79</v>
      </c>
      <c r="F28" s="9" t="s">
        <v>43</v>
      </c>
      <c r="G28" s="9">
        <v>20</v>
      </c>
      <c r="H28" s="11">
        <v>424.64</v>
      </c>
      <c r="I28" s="12">
        <v>0.15</v>
      </c>
      <c r="J28" s="11">
        <f t="shared" si="0"/>
        <v>7218.8799999999992</v>
      </c>
      <c r="K28" s="11">
        <f>ROUND(J28*0.135,2)</f>
        <v>974.55</v>
      </c>
      <c r="L28" s="9" t="s">
        <v>44</v>
      </c>
      <c r="M28" s="9">
        <v>3</v>
      </c>
    </row>
    <row r="29" spans="1:13" x14ac:dyDescent="0.3">
      <c r="A29" s="9" t="s">
        <v>98</v>
      </c>
      <c r="B29" s="10">
        <v>45818</v>
      </c>
      <c r="C29" s="9" t="s">
        <v>61</v>
      </c>
      <c r="D29" s="9" t="s">
        <v>50</v>
      </c>
      <c r="E29" s="9" t="s">
        <v>59</v>
      </c>
      <c r="F29" s="9" t="s">
        <v>66</v>
      </c>
      <c r="G29" s="9">
        <v>22</v>
      </c>
      <c r="H29" s="11">
        <v>2312.4299999999998</v>
      </c>
      <c r="I29" s="12">
        <v>0.1</v>
      </c>
      <c r="J29" s="11">
        <f t="shared" si="0"/>
        <v>45786.114000000001</v>
      </c>
      <c r="K29" s="11">
        <f>ROUND(J29*0.083,2)</f>
        <v>3800.25</v>
      </c>
      <c r="L29" s="9" t="s">
        <v>44</v>
      </c>
      <c r="M29" s="9">
        <v>1</v>
      </c>
    </row>
    <row r="30" spans="1:13" x14ac:dyDescent="0.3">
      <c r="A30" s="9" t="s">
        <v>99</v>
      </c>
      <c r="B30" s="10">
        <v>45976</v>
      </c>
      <c r="C30" s="9" t="s">
        <v>35</v>
      </c>
      <c r="D30" s="9" t="s">
        <v>36</v>
      </c>
      <c r="E30" s="9" t="s">
        <v>96</v>
      </c>
      <c r="F30" s="9" t="s">
        <v>38</v>
      </c>
      <c r="G30" s="9">
        <v>17</v>
      </c>
      <c r="H30" s="11">
        <v>12044.24</v>
      </c>
      <c r="I30" s="12">
        <v>0.05</v>
      </c>
      <c r="J30" s="11">
        <f t="shared" si="0"/>
        <v>194514.47599999997</v>
      </c>
      <c r="K30" s="11">
        <f>ROUND(J30*0.18,2)</f>
        <v>35012.61</v>
      </c>
      <c r="L30" s="9" t="s">
        <v>39</v>
      </c>
      <c r="M30" s="9">
        <v>2</v>
      </c>
    </row>
    <row r="31" spans="1:13" x14ac:dyDescent="0.3">
      <c r="A31" s="9" t="s">
        <v>100</v>
      </c>
      <c r="B31" s="10">
        <v>45738</v>
      </c>
      <c r="C31" s="9" t="s">
        <v>58</v>
      </c>
      <c r="D31" s="9" t="s">
        <v>54</v>
      </c>
      <c r="E31" s="9" t="s">
        <v>72</v>
      </c>
      <c r="F31" s="9" t="s">
        <v>43</v>
      </c>
      <c r="G31" s="9">
        <v>22</v>
      </c>
      <c r="H31" s="11">
        <v>2887.3</v>
      </c>
      <c r="I31" s="12">
        <v>0.05</v>
      </c>
      <c r="J31" s="11">
        <f t="shared" si="0"/>
        <v>60344.57</v>
      </c>
      <c r="K31" s="11">
        <f>ROUND(J31*0.151,2)</f>
        <v>9112.0300000000007</v>
      </c>
      <c r="L31" s="9" t="s">
        <v>39</v>
      </c>
      <c r="M31" s="9">
        <v>2</v>
      </c>
    </row>
    <row r="32" spans="1:13" x14ac:dyDescent="0.3">
      <c r="A32" s="9" t="s">
        <v>101</v>
      </c>
      <c r="B32" s="10">
        <v>45712</v>
      </c>
      <c r="C32" s="9" t="s">
        <v>61</v>
      </c>
      <c r="D32" s="9" t="s">
        <v>50</v>
      </c>
      <c r="E32" s="9" t="s">
        <v>102</v>
      </c>
      <c r="F32" s="9" t="s">
        <v>38</v>
      </c>
      <c r="G32" s="9">
        <v>23</v>
      </c>
      <c r="H32" s="11">
        <v>1298.6500000000001</v>
      </c>
      <c r="I32" s="12">
        <v>0.15</v>
      </c>
      <c r="J32" s="11">
        <f t="shared" si="0"/>
        <v>25388.607499999998</v>
      </c>
      <c r="K32" s="11">
        <f>ROUND(J32*0.212,2)</f>
        <v>5382.38</v>
      </c>
      <c r="L32" s="9" t="s">
        <v>44</v>
      </c>
      <c r="M32" s="9">
        <v>5</v>
      </c>
    </row>
    <row r="33" spans="1:13" x14ac:dyDescent="0.3">
      <c r="A33" s="9" t="s">
        <v>103</v>
      </c>
      <c r="B33" s="10">
        <v>45684</v>
      </c>
      <c r="C33" s="9" t="s">
        <v>35</v>
      </c>
      <c r="D33" s="9" t="s">
        <v>81</v>
      </c>
      <c r="E33" s="9" t="s">
        <v>93</v>
      </c>
      <c r="F33" s="9" t="s">
        <v>43</v>
      </c>
      <c r="G33" s="9">
        <v>1</v>
      </c>
      <c r="H33" s="11">
        <v>1267.4100000000001</v>
      </c>
      <c r="I33" s="12">
        <v>0</v>
      </c>
      <c r="J33" s="11">
        <f t="shared" si="0"/>
        <v>1267.4100000000001</v>
      </c>
      <c r="K33" s="11">
        <f>ROUND(J33*0.28,2)</f>
        <v>354.87</v>
      </c>
      <c r="L33" s="9" t="s">
        <v>44</v>
      </c>
      <c r="M33" s="9">
        <v>2</v>
      </c>
    </row>
    <row r="34" spans="1:13" x14ac:dyDescent="0.3">
      <c r="A34" s="9" t="s">
        <v>104</v>
      </c>
      <c r="B34" s="10">
        <v>45940</v>
      </c>
      <c r="C34" s="9" t="s">
        <v>58</v>
      </c>
      <c r="D34" s="9" t="s">
        <v>54</v>
      </c>
      <c r="E34" s="9" t="s">
        <v>70</v>
      </c>
      <c r="F34" s="9" t="s">
        <v>56</v>
      </c>
      <c r="G34" s="9">
        <v>3</v>
      </c>
      <c r="H34" s="11">
        <v>3315.92</v>
      </c>
      <c r="I34" s="12">
        <v>0.15</v>
      </c>
      <c r="J34" s="11">
        <f t="shared" si="0"/>
        <v>8455.5959999999995</v>
      </c>
      <c r="K34" s="11">
        <f>ROUND(J34*0.09,2)</f>
        <v>761</v>
      </c>
      <c r="L34" s="9" t="s">
        <v>39</v>
      </c>
      <c r="M34" s="9">
        <v>5</v>
      </c>
    </row>
    <row r="35" spans="1:13" x14ac:dyDescent="0.3">
      <c r="A35" s="9" t="s">
        <v>105</v>
      </c>
      <c r="B35" s="10">
        <v>45847</v>
      </c>
      <c r="C35" s="9" t="s">
        <v>61</v>
      </c>
      <c r="D35" s="9" t="s">
        <v>81</v>
      </c>
      <c r="E35" s="9" t="s">
        <v>106</v>
      </c>
      <c r="F35" s="9" t="s">
        <v>43</v>
      </c>
      <c r="G35" s="9">
        <v>10</v>
      </c>
      <c r="H35" s="11">
        <v>1371.58</v>
      </c>
      <c r="I35" s="12">
        <v>0.2</v>
      </c>
      <c r="J35" s="11">
        <f t="shared" si="0"/>
        <v>10972.64</v>
      </c>
      <c r="K35" s="11">
        <f>ROUND(J35*0.137,2)</f>
        <v>1503.25</v>
      </c>
      <c r="L35" s="9" t="s">
        <v>39</v>
      </c>
      <c r="M35" s="9">
        <v>3</v>
      </c>
    </row>
    <row r="36" spans="1:13" x14ac:dyDescent="0.3">
      <c r="A36" s="9" t="s">
        <v>107</v>
      </c>
      <c r="B36" s="10">
        <v>45785</v>
      </c>
      <c r="C36" s="9" t="s">
        <v>35</v>
      </c>
      <c r="D36" s="9" t="s">
        <v>50</v>
      </c>
      <c r="E36" s="9" t="s">
        <v>51</v>
      </c>
      <c r="F36" s="9" t="s">
        <v>62</v>
      </c>
      <c r="G36" s="9">
        <v>20</v>
      </c>
      <c r="H36" s="11">
        <v>2660.75</v>
      </c>
      <c r="I36" s="12">
        <v>0</v>
      </c>
      <c r="J36" s="11">
        <f t="shared" si="0"/>
        <v>53215</v>
      </c>
      <c r="K36" s="11">
        <f>ROUND(J36*0.318,2)</f>
        <v>16922.37</v>
      </c>
      <c r="L36" s="9" t="s">
        <v>39</v>
      </c>
      <c r="M36" s="9">
        <v>2</v>
      </c>
    </row>
    <row r="37" spans="1:13" x14ac:dyDescent="0.3">
      <c r="A37" s="9" t="s">
        <v>108</v>
      </c>
      <c r="B37" s="10">
        <v>45670</v>
      </c>
      <c r="C37" s="9" t="s">
        <v>61</v>
      </c>
      <c r="D37" s="9" t="s">
        <v>50</v>
      </c>
      <c r="E37" s="9" t="s">
        <v>59</v>
      </c>
      <c r="F37" s="9" t="s">
        <v>38</v>
      </c>
      <c r="G37" s="9">
        <v>9</v>
      </c>
      <c r="H37" s="11">
        <v>683.31</v>
      </c>
      <c r="I37" s="12">
        <v>0.15</v>
      </c>
      <c r="J37" s="11">
        <f t="shared" si="0"/>
        <v>5227.3214999999991</v>
      </c>
      <c r="K37" s="11">
        <f>ROUND(J37*0.315,2)</f>
        <v>1646.61</v>
      </c>
      <c r="L37" s="9" t="s">
        <v>39</v>
      </c>
      <c r="M37" s="9">
        <v>4</v>
      </c>
    </row>
    <row r="38" spans="1:13" x14ac:dyDescent="0.3">
      <c r="A38" s="9" t="s">
        <v>109</v>
      </c>
      <c r="B38" s="10">
        <v>45898</v>
      </c>
      <c r="C38" s="9" t="s">
        <v>61</v>
      </c>
      <c r="D38" s="9" t="s">
        <v>41</v>
      </c>
      <c r="E38" s="9" t="s">
        <v>46</v>
      </c>
      <c r="F38" s="9" t="s">
        <v>47</v>
      </c>
      <c r="G38" s="9">
        <v>10</v>
      </c>
      <c r="H38" s="11">
        <v>7438.67</v>
      </c>
      <c r="I38" s="12">
        <v>0.2</v>
      </c>
      <c r="J38" s="11">
        <f t="shared" si="0"/>
        <v>59509.36</v>
      </c>
      <c r="K38" s="11">
        <f>ROUND(J38*0.086,2)</f>
        <v>5117.8</v>
      </c>
      <c r="L38" s="9" t="s">
        <v>39</v>
      </c>
      <c r="M38" s="9">
        <v>2</v>
      </c>
    </row>
    <row r="39" spans="1:13" x14ac:dyDescent="0.3">
      <c r="A39" s="9" t="s">
        <v>110</v>
      </c>
      <c r="B39" s="10">
        <v>45756</v>
      </c>
      <c r="C39" s="9" t="s">
        <v>58</v>
      </c>
      <c r="D39" s="9" t="s">
        <v>50</v>
      </c>
      <c r="E39" s="9" t="s">
        <v>102</v>
      </c>
      <c r="F39" s="9" t="s">
        <v>56</v>
      </c>
      <c r="G39" s="9">
        <v>25</v>
      </c>
      <c r="H39" s="11">
        <v>1085.07</v>
      </c>
      <c r="I39" s="12">
        <v>0.15</v>
      </c>
      <c r="J39" s="11">
        <f t="shared" si="0"/>
        <v>23057.737499999999</v>
      </c>
      <c r="K39" s="11">
        <f>ROUND(J39*0.169,2)</f>
        <v>3896.76</v>
      </c>
      <c r="L39" s="9" t="s">
        <v>44</v>
      </c>
      <c r="M39" s="9">
        <v>5</v>
      </c>
    </row>
    <row r="40" spans="1:13" x14ac:dyDescent="0.3">
      <c r="A40" s="9" t="s">
        <v>111</v>
      </c>
      <c r="B40" s="10">
        <v>45672</v>
      </c>
      <c r="C40" s="9" t="s">
        <v>35</v>
      </c>
      <c r="D40" s="9" t="s">
        <v>50</v>
      </c>
      <c r="E40" s="9" t="s">
        <v>68</v>
      </c>
      <c r="F40" s="9" t="s">
        <v>52</v>
      </c>
      <c r="G40" s="9">
        <v>2</v>
      </c>
      <c r="H40" s="11">
        <v>513.15</v>
      </c>
      <c r="I40" s="12">
        <v>0.1</v>
      </c>
      <c r="J40" s="11">
        <f t="shared" si="0"/>
        <v>923.67</v>
      </c>
      <c r="K40" s="11">
        <f>ROUND(J40*0.198,2)</f>
        <v>182.89</v>
      </c>
      <c r="L40" s="9" t="s">
        <v>44</v>
      </c>
      <c r="M40" s="9">
        <v>3</v>
      </c>
    </row>
    <row r="41" spans="1:13" x14ac:dyDescent="0.3">
      <c r="A41" s="9" t="s">
        <v>112</v>
      </c>
      <c r="B41" s="10">
        <v>45919</v>
      </c>
      <c r="C41" s="9" t="s">
        <v>35</v>
      </c>
      <c r="D41" s="9" t="s">
        <v>81</v>
      </c>
      <c r="E41" s="9" t="s">
        <v>82</v>
      </c>
      <c r="F41" s="9" t="s">
        <v>38</v>
      </c>
      <c r="G41" s="9">
        <v>9</v>
      </c>
      <c r="H41" s="11">
        <v>298.69</v>
      </c>
      <c r="I41" s="12">
        <v>0.1</v>
      </c>
      <c r="J41" s="11">
        <f t="shared" si="0"/>
        <v>2419.3890000000001</v>
      </c>
      <c r="K41" s="11">
        <f>ROUND(J41*0.33,2)</f>
        <v>798.4</v>
      </c>
      <c r="L41" s="9" t="s">
        <v>39</v>
      </c>
      <c r="M41" s="9">
        <v>5</v>
      </c>
    </row>
    <row r="42" spans="1:13" x14ac:dyDescent="0.3">
      <c r="A42" s="9" t="s">
        <v>113</v>
      </c>
      <c r="B42" s="10">
        <v>45933</v>
      </c>
      <c r="C42" s="9" t="s">
        <v>61</v>
      </c>
      <c r="D42" s="9" t="s">
        <v>50</v>
      </c>
      <c r="E42" s="9" t="s">
        <v>59</v>
      </c>
      <c r="F42" s="9" t="s">
        <v>56</v>
      </c>
      <c r="G42" s="9">
        <v>22</v>
      </c>
      <c r="H42" s="11">
        <v>3234.58</v>
      </c>
      <c r="I42" s="12">
        <v>0.1</v>
      </c>
      <c r="J42" s="11">
        <f t="shared" si="0"/>
        <v>64044.683999999994</v>
      </c>
      <c r="K42" s="11">
        <f>ROUND(J42*0.274,2)</f>
        <v>17548.240000000002</v>
      </c>
      <c r="L42" s="9" t="s">
        <v>44</v>
      </c>
      <c r="M42" s="9">
        <v>1</v>
      </c>
    </row>
    <row r="43" spans="1:13" x14ac:dyDescent="0.3">
      <c r="A43" s="9" t="s">
        <v>114</v>
      </c>
      <c r="B43" s="10">
        <v>45811</v>
      </c>
      <c r="C43" s="9" t="s">
        <v>49</v>
      </c>
      <c r="D43" s="9" t="s">
        <v>81</v>
      </c>
      <c r="E43" s="9" t="s">
        <v>93</v>
      </c>
      <c r="F43" s="9" t="s">
        <v>62</v>
      </c>
      <c r="G43" s="9">
        <v>23</v>
      </c>
      <c r="H43" s="11">
        <v>1140.44</v>
      </c>
      <c r="I43" s="12">
        <v>0</v>
      </c>
      <c r="J43" s="11">
        <f t="shared" si="0"/>
        <v>26230.120000000003</v>
      </c>
      <c r="K43" s="11">
        <f>ROUND(J43*0.26,2)</f>
        <v>6819.83</v>
      </c>
      <c r="L43" s="9" t="s">
        <v>39</v>
      </c>
      <c r="M43" s="9">
        <v>4</v>
      </c>
    </row>
    <row r="44" spans="1:13" x14ac:dyDescent="0.3">
      <c r="A44" s="9" t="s">
        <v>115</v>
      </c>
      <c r="B44" s="10">
        <v>45852</v>
      </c>
      <c r="C44" s="9" t="s">
        <v>61</v>
      </c>
      <c r="D44" s="9" t="s">
        <v>54</v>
      </c>
      <c r="E44" s="9" t="s">
        <v>79</v>
      </c>
      <c r="F44" s="9" t="s">
        <v>52</v>
      </c>
      <c r="G44" s="9">
        <v>13</v>
      </c>
      <c r="H44" s="11">
        <v>1985.59</v>
      </c>
      <c r="I44" s="12">
        <v>0</v>
      </c>
      <c r="J44" s="11">
        <f t="shared" si="0"/>
        <v>25812.67</v>
      </c>
      <c r="K44" s="11">
        <f>ROUND(J44*0.137,2)</f>
        <v>3536.34</v>
      </c>
      <c r="L44" s="9" t="s">
        <v>44</v>
      </c>
      <c r="M44" s="9">
        <v>3</v>
      </c>
    </row>
    <row r="45" spans="1:13" x14ac:dyDescent="0.3">
      <c r="A45" s="9" t="s">
        <v>116</v>
      </c>
      <c r="B45" s="10">
        <v>45954</v>
      </c>
      <c r="C45" s="9" t="s">
        <v>49</v>
      </c>
      <c r="D45" s="9" t="s">
        <v>81</v>
      </c>
      <c r="E45" s="9" t="s">
        <v>91</v>
      </c>
      <c r="F45" s="9" t="s">
        <v>75</v>
      </c>
      <c r="G45" s="9">
        <v>22</v>
      </c>
      <c r="H45" s="11">
        <v>865.9</v>
      </c>
      <c r="I45" s="12">
        <v>0.1</v>
      </c>
      <c r="J45" s="11">
        <f t="shared" si="0"/>
        <v>17144.82</v>
      </c>
      <c r="K45" s="11">
        <f>ROUND(J45*0.157,2)</f>
        <v>2691.74</v>
      </c>
      <c r="L45" s="9" t="s">
        <v>39</v>
      </c>
      <c r="M45" s="9">
        <v>1</v>
      </c>
    </row>
    <row r="46" spans="1:13" x14ac:dyDescent="0.3">
      <c r="A46" s="9" t="s">
        <v>117</v>
      </c>
      <c r="B46" s="10">
        <v>45997</v>
      </c>
      <c r="C46" s="9" t="s">
        <v>49</v>
      </c>
      <c r="D46" s="9" t="s">
        <v>36</v>
      </c>
      <c r="E46" s="9" t="s">
        <v>118</v>
      </c>
      <c r="F46" s="9" t="s">
        <v>52</v>
      </c>
      <c r="G46" s="9">
        <v>8</v>
      </c>
      <c r="H46" s="11">
        <v>36324.35</v>
      </c>
      <c r="I46" s="12">
        <v>0</v>
      </c>
      <c r="J46" s="11">
        <f t="shared" si="0"/>
        <v>290594.8</v>
      </c>
      <c r="K46" s="11">
        <f>ROUND(J46*0.146,2)</f>
        <v>42426.84</v>
      </c>
      <c r="L46" s="9" t="s">
        <v>39</v>
      </c>
      <c r="M46" s="9">
        <v>1</v>
      </c>
    </row>
    <row r="47" spans="1:13" x14ac:dyDescent="0.3">
      <c r="A47" s="9" t="s">
        <v>119</v>
      </c>
      <c r="B47" s="10">
        <v>45901</v>
      </c>
      <c r="C47" s="9" t="s">
        <v>35</v>
      </c>
      <c r="D47" s="9" t="s">
        <v>81</v>
      </c>
      <c r="E47" s="9" t="s">
        <v>91</v>
      </c>
      <c r="F47" s="9" t="s">
        <v>38</v>
      </c>
      <c r="G47" s="9">
        <v>23</v>
      </c>
      <c r="H47" s="11">
        <v>2482.79</v>
      </c>
      <c r="I47" s="12">
        <v>0.1</v>
      </c>
      <c r="J47" s="11">
        <f t="shared" si="0"/>
        <v>51393.752999999997</v>
      </c>
      <c r="K47" s="11">
        <f>ROUND(J47*0.12,2)</f>
        <v>6167.25</v>
      </c>
      <c r="L47" s="9" t="s">
        <v>44</v>
      </c>
      <c r="M47" s="9">
        <v>2</v>
      </c>
    </row>
    <row r="48" spans="1:13" x14ac:dyDescent="0.3">
      <c r="A48" s="9" t="s">
        <v>120</v>
      </c>
      <c r="B48" s="10">
        <v>46010</v>
      </c>
      <c r="C48" s="9" t="s">
        <v>35</v>
      </c>
      <c r="D48" s="9" t="s">
        <v>36</v>
      </c>
      <c r="E48" s="9" t="s">
        <v>77</v>
      </c>
      <c r="F48" s="9" t="s">
        <v>38</v>
      </c>
      <c r="G48" s="9">
        <v>6</v>
      </c>
      <c r="H48" s="11">
        <v>36214.33</v>
      </c>
      <c r="I48" s="12">
        <v>0.15</v>
      </c>
      <c r="J48" s="11">
        <f t="shared" si="0"/>
        <v>184693.08300000001</v>
      </c>
      <c r="K48" s="11">
        <f>ROUND(J48*0.23,2)</f>
        <v>42479.41</v>
      </c>
      <c r="L48" s="9" t="s">
        <v>44</v>
      </c>
      <c r="M48" s="9">
        <v>1</v>
      </c>
    </row>
    <row r="49" spans="1:13" x14ac:dyDescent="0.3">
      <c r="A49" s="9" t="s">
        <v>121</v>
      </c>
      <c r="B49" s="10">
        <v>45720</v>
      </c>
      <c r="C49" s="9" t="s">
        <v>58</v>
      </c>
      <c r="D49" s="9" t="s">
        <v>41</v>
      </c>
      <c r="E49" s="9" t="s">
        <v>46</v>
      </c>
      <c r="F49" s="9" t="s">
        <v>47</v>
      </c>
      <c r="G49" s="9">
        <v>25</v>
      </c>
      <c r="H49" s="11">
        <v>8055.41</v>
      </c>
      <c r="I49" s="12">
        <v>0.1</v>
      </c>
      <c r="J49" s="11">
        <f t="shared" si="0"/>
        <v>181246.72500000001</v>
      </c>
      <c r="K49" s="11">
        <f>ROUND(J49*0.2,2)</f>
        <v>36249.35</v>
      </c>
      <c r="L49" s="9" t="s">
        <v>44</v>
      </c>
      <c r="M49" s="9">
        <v>5</v>
      </c>
    </row>
    <row r="50" spans="1:13" x14ac:dyDescent="0.3">
      <c r="A50" s="9" t="s">
        <v>122</v>
      </c>
      <c r="B50" s="10">
        <v>45739</v>
      </c>
      <c r="C50" s="9" t="s">
        <v>58</v>
      </c>
      <c r="D50" s="9" t="s">
        <v>81</v>
      </c>
      <c r="E50" s="9" t="s">
        <v>93</v>
      </c>
      <c r="F50" s="9" t="s">
        <v>38</v>
      </c>
      <c r="G50" s="9">
        <v>21</v>
      </c>
      <c r="H50" s="11">
        <v>1078.99</v>
      </c>
      <c r="I50" s="12">
        <v>0.2</v>
      </c>
      <c r="J50" s="11">
        <f t="shared" si="0"/>
        <v>18127.032000000003</v>
      </c>
      <c r="K50" s="11">
        <f>ROUND(J50*0.154,2)</f>
        <v>2791.56</v>
      </c>
      <c r="L50" s="9" t="s">
        <v>44</v>
      </c>
      <c r="M50" s="9">
        <v>2</v>
      </c>
    </row>
    <row r="51" spans="1:13" x14ac:dyDescent="0.3">
      <c r="A51" s="9" t="s">
        <v>123</v>
      </c>
      <c r="B51" s="10">
        <v>45697</v>
      </c>
      <c r="C51" s="9" t="s">
        <v>49</v>
      </c>
      <c r="D51" s="9" t="s">
        <v>41</v>
      </c>
      <c r="E51" s="9" t="s">
        <v>65</v>
      </c>
      <c r="F51" s="9" t="s">
        <v>47</v>
      </c>
      <c r="G51" s="9">
        <v>11</v>
      </c>
      <c r="H51" s="11">
        <v>8069.33</v>
      </c>
      <c r="I51" s="12">
        <v>0</v>
      </c>
      <c r="J51" s="11">
        <f t="shared" si="0"/>
        <v>88762.63</v>
      </c>
      <c r="K51" s="11">
        <f>ROUND(J51*0.142,2)</f>
        <v>12604.29</v>
      </c>
      <c r="L51" s="9" t="s">
        <v>39</v>
      </c>
      <c r="M51" s="9">
        <v>2</v>
      </c>
    </row>
    <row r="52" spans="1:13" x14ac:dyDescent="0.3">
      <c r="A52" s="9" t="s">
        <v>124</v>
      </c>
      <c r="B52" s="10">
        <v>46013</v>
      </c>
      <c r="C52" s="9" t="s">
        <v>61</v>
      </c>
      <c r="D52" s="9" t="s">
        <v>41</v>
      </c>
      <c r="E52" s="9" t="s">
        <v>125</v>
      </c>
      <c r="F52" s="9" t="s">
        <v>62</v>
      </c>
      <c r="G52" s="9">
        <v>14</v>
      </c>
      <c r="H52" s="11">
        <v>3178.67</v>
      </c>
      <c r="I52" s="12">
        <v>0.1</v>
      </c>
      <c r="J52" s="11">
        <f t="shared" si="0"/>
        <v>40051.242000000006</v>
      </c>
      <c r="K52" s="11">
        <f>ROUND(J52*0.136,2)</f>
        <v>5446.97</v>
      </c>
      <c r="L52" s="9" t="s">
        <v>44</v>
      </c>
      <c r="M52" s="9">
        <v>1</v>
      </c>
    </row>
    <row r="53" spans="1:13" x14ac:dyDescent="0.3">
      <c r="A53" s="9" t="s">
        <v>126</v>
      </c>
      <c r="B53" s="10">
        <v>45873</v>
      </c>
      <c r="C53" s="9" t="s">
        <v>58</v>
      </c>
      <c r="D53" s="9" t="s">
        <v>54</v>
      </c>
      <c r="E53" s="9" t="s">
        <v>70</v>
      </c>
      <c r="F53" s="9" t="s">
        <v>62</v>
      </c>
      <c r="G53" s="9">
        <v>16</v>
      </c>
      <c r="H53" s="11">
        <v>169.75</v>
      </c>
      <c r="I53" s="12">
        <v>0.05</v>
      </c>
      <c r="J53" s="11">
        <f t="shared" si="0"/>
        <v>2580.1999999999998</v>
      </c>
      <c r="K53" s="11">
        <f>ROUND(J53*0.31,2)</f>
        <v>799.86</v>
      </c>
      <c r="L53" s="9" t="s">
        <v>44</v>
      </c>
      <c r="M53" s="9">
        <v>4</v>
      </c>
    </row>
    <row r="54" spans="1:13" x14ac:dyDescent="0.3">
      <c r="A54" s="9" t="s">
        <v>127</v>
      </c>
      <c r="B54" s="10">
        <v>45872</v>
      </c>
      <c r="C54" s="9" t="s">
        <v>61</v>
      </c>
      <c r="D54" s="9" t="s">
        <v>81</v>
      </c>
      <c r="E54" s="9" t="s">
        <v>106</v>
      </c>
      <c r="F54" s="9" t="s">
        <v>52</v>
      </c>
      <c r="G54" s="9">
        <v>14</v>
      </c>
      <c r="H54" s="11">
        <v>1776.9</v>
      </c>
      <c r="I54" s="12">
        <v>0.1</v>
      </c>
      <c r="J54" s="11">
        <f t="shared" si="0"/>
        <v>22388.940000000002</v>
      </c>
      <c r="K54" s="11">
        <f>ROUND(J54*0.276,2)</f>
        <v>6179.35</v>
      </c>
      <c r="L54" s="9" t="s">
        <v>44</v>
      </c>
      <c r="M54" s="9">
        <v>4</v>
      </c>
    </row>
    <row r="55" spans="1:13" x14ac:dyDescent="0.3">
      <c r="A55" s="9" t="s">
        <v>128</v>
      </c>
      <c r="B55" s="10">
        <v>45897</v>
      </c>
      <c r="C55" s="9" t="s">
        <v>61</v>
      </c>
      <c r="D55" s="9" t="s">
        <v>54</v>
      </c>
      <c r="E55" s="9" t="s">
        <v>79</v>
      </c>
      <c r="F55" s="9" t="s">
        <v>43</v>
      </c>
      <c r="G55" s="9">
        <v>13</v>
      </c>
      <c r="H55" s="11">
        <v>2132.84</v>
      </c>
      <c r="I55" s="12">
        <v>0.15</v>
      </c>
      <c r="J55" s="11">
        <f t="shared" si="0"/>
        <v>23567.882000000001</v>
      </c>
      <c r="K55" s="11">
        <f>ROUND(J55*0.254,2)</f>
        <v>5986.24</v>
      </c>
      <c r="L55" s="9" t="s">
        <v>39</v>
      </c>
      <c r="M55" s="9">
        <v>1</v>
      </c>
    </row>
    <row r="56" spans="1:13" x14ac:dyDescent="0.3">
      <c r="A56" s="9" t="s">
        <v>129</v>
      </c>
      <c r="B56" s="10">
        <v>45727</v>
      </c>
      <c r="C56" s="9" t="s">
        <v>58</v>
      </c>
      <c r="D56" s="9" t="s">
        <v>41</v>
      </c>
      <c r="E56" s="9" t="s">
        <v>125</v>
      </c>
      <c r="F56" s="9" t="s">
        <v>52</v>
      </c>
      <c r="G56" s="9">
        <v>13</v>
      </c>
      <c r="H56" s="11">
        <v>3147.97</v>
      </c>
      <c r="I56" s="12">
        <v>0.1</v>
      </c>
      <c r="J56" s="11">
        <f t="shared" si="0"/>
        <v>36831.249000000003</v>
      </c>
      <c r="K56" s="11">
        <f>ROUND(J56*0.286,2)</f>
        <v>10533.74</v>
      </c>
      <c r="L56" s="9" t="s">
        <v>44</v>
      </c>
      <c r="M56" s="9">
        <v>3</v>
      </c>
    </row>
    <row r="57" spans="1:13" x14ac:dyDescent="0.3">
      <c r="A57" s="9" t="s">
        <v>130</v>
      </c>
      <c r="B57" s="10">
        <v>45852</v>
      </c>
      <c r="C57" s="9" t="s">
        <v>49</v>
      </c>
      <c r="D57" s="9" t="s">
        <v>81</v>
      </c>
      <c r="E57" s="9" t="s">
        <v>93</v>
      </c>
      <c r="F57" s="9" t="s">
        <v>56</v>
      </c>
      <c r="G57" s="9">
        <v>16</v>
      </c>
      <c r="H57" s="11">
        <v>214.93</v>
      </c>
      <c r="I57" s="12">
        <v>0.1</v>
      </c>
      <c r="J57" s="11">
        <f t="shared" si="0"/>
        <v>3094.9920000000002</v>
      </c>
      <c r="K57" s="11">
        <f>ROUND(J57*0.141,2)</f>
        <v>436.39</v>
      </c>
      <c r="L57" s="9" t="s">
        <v>39</v>
      </c>
      <c r="M57" s="9">
        <v>3</v>
      </c>
    </row>
    <row r="58" spans="1:13" x14ac:dyDescent="0.3">
      <c r="A58" s="9" t="s">
        <v>131</v>
      </c>
      <c r="B58" s="10">
        <v>45693</v>
      </c>
      <c r="C58" s="9" t="s">
        <v>35</v>
      </c>
      <c r="D58" s="9" t="s">
        <v>36</v>
      </c>
      <c r="E58" s="9" t="s">
        <v>118</v>
      </c>
      <c r="F58" s="9" t="s">
        <v>38</v>
      </c>
      <c r="G58" s="9">
        <v>1</v>
      </c>
      <c r="H58" s="11">
        <v>28016.9</v>
      </c>
      <c r="I58" s="12">
        <v>0</v>
      </c>
      <c r="J58" s="11">
        <f t="shared" si="0"/>
        <v>28016.9</v>
      </c>
      <c r="K58" s="11">
        <f>ROUND(J58*0.261,2)</f>
        <v>7312.41</v>
      </c>
      <c r="L58" s="9" t="s">
        <v>39</v>
      </c>
      <c r="M58" s="9">
        <v>4</v>
      </c>
    </row>
    <row r="59" spans="1:13" x14ac:dyDescent="0.3">
      <c r="A59" s="9" t="s">
        <v>132</v>
      </c>
      <c r="B59" s="10">
        <v>45946</v>
      </c>
      <c r="C59" s="9" t="s">
        <v>61</v>
      </c>
      <c r="D59" s="9" t="s">
        <v>81</v>
      </c>
      <c r="E59" s="9" t="s">
        <v>93</v>
      </c>
      <c r="F59" s="9" t="s">
        <v>47</v>
      </c>
      <c r="G59" s="9">
        <v>6</v>
      </c>
      <c r="H59" s="11">
        <v>2179.7399999999998</v>
      </c>
      <c r="I59" s="12">
        <v>0.15</v>
      </c>
      <c r="J59" s="11">
        <f t="shared" si="0"/>
        <v>11116.673999999999</v>
      </c>
      <c r="K59" s="11">
        <f>ROUND(J59*0.34,2)</f>
        <v>3779.67</v>
      </c>
      <c r="L59" s="9" t="s">
        <v>39</v>
      </c>
      <c r="M59" s="9">
        <v>2</v>
      </c>
    </row>
    <row r="60" spans="1:13" x14ac:dyDescent="0.3">
      <c r="A60" s="9" t="s">
        <v>133</v>
      </c>
      <c r="B60" s="10">
        <v>45713</v>
      </c>
      <c r="C60" s="9" t="s">
        <v>35</v>
      </c>
      <c r="D60" s="9" t="s">
        <v>50</v>
      </c>
      <c r="E60" s="9" t="s">
        <v>51</v>
      </c>
      <c r="F60" s="9" t="s">
        <v>62</v>
      </c>
      <c r="G60" s="9">
        <v>13</v>
      </c>
      <c r="H60" s="11">
        <v>3303.93</v>
      </c>
      <c r="I60" s="12">
        <v>0</v>
      </c>
      <c r="J60" s="11">
        <f t="shared" si="0"/>
        <v>42951.09</v>
      </c>
      <c r="K60" s="11">
        <f>ROUND(J60*0.266,2)</f>
        <v>11424.99</v>
      </c>
      <c r="L60" s="9" t="s">
        <v>39</v>
      </c>
      <c r="M60" s="9">
        <v>5</v>
      </c>
    </row>
    <row r="61" spans="1:13" x14ac:dyDescent="0.3">
      <c r="A61" s="9" t="s">
        <v>134</v>
      </c>
      <c r="B61" s="10">
        <v>45979</v>
      </c>
      <c r="C61" s="9" t="s">
        <v>61</v>
      </c>
      <c r="D61" s="9" t="s">
        <v>36</v>
      </c>
      <c r="E61" s="9" t="s">
        <v>37</v>
      </c>
      <c r="F61" s="9" t="s">
        <v>56</v>
      </c>
      <c r="G61" s="9">
        <v>19</v>
      </c>
      <c r="H61" s="11">
        <v>35251.199999999997</v>
      </c>
      <c r="I61" s="12">
        <v>0.05</v>
      </c>
      <c r="J61" s="11">
        <f t="shared" si="0"/>
        <v>636284.15999999992</v>
      </c>
      <c r="K61" s="11">
        <f>ROUND(J61*0.099,2)</f>
        <v>62992.13</v>
      </c>
      <c r="L61" s="9" t="s">
        <v>44</v>
      </c>
      <c r="M61" s="9">
        <v>3</v>
      </c>
    </row>
    <row r="62" spans="1:13" x14ac:dyDescent="0.3">
      <c r="A62" s="9" t="s">
        <v>135</v>
      </c>
      <c r="B62" s="10">
        <v>45989</v>
      </c>
      <c r="C62" s="9" t="s">
        <v>49</v>
      </c>
      <c r="D62" s="9" t="s">
        <v>36</v>
      </c>
      <c r="E62" s="9" t="s">
        <v>77</v>
      </c>
      <c r="F62" s="9" t="s">
        <v>75</v>
      </c>
      <c r="G62" s="9">
        <v>4</v>
      </c>
      <c r="H62" s="11">
        <v>19593.52</v>
      </c>
      <c r="I62" s="12">
        <v>0.05</v>
      </c>
      <c r="J62" s="11">
        <f t="shared" si="0"/>
        <v>74455.376000000004</v>
      </c>
      <c r="K62" s="11">
        <f>ROUND(J62*0.198,2)</f>
        <v>14742.16</v>
      </c>
      <c r="L62" s="9" t="s">
        <v>44</v>
      </c>
      <c r="M62" s="9">
        <v>2</v>
      </c>
    </row>
    <row r="63" spans="1:13" x14ac:dyDescent="0.3">
      <c r="A63" s="9" t="s">
        <v>136</v>
      </c>
      <c r="B63" s="10">
        <v>45925</v>
      </c>
      <c r="C63" s="9" t="s">
        <v>49</v>
      </c>
      <c r="D63" s="9" t="s">
        <v>54</v>
      </c>
      <c r="E63" s="9" t="s">
        <v>79</v>
      </c>
      <c r="F63" s="9" t="s">
        <v>75</v>
      </c>
      <c r="G63" s="9">
        <v>15</v>
      </c>
      <c r="H63" s="11">
        <v>1609.17</v>
      </c>
      <c r="I63" s="12">
        <v>0.15</v>
      </c>
      <c r="J63" s="11">
        <f t="shared" si="0"/>
        <v>20516.917500000003</v>
      </c>
      <c r="K63" s="11">
        <f>ROUND(J63*0.31,2)</f>
        <v>6360.24</v>
      </c>
      <c r="L63" s="9" t="s">
        <v>44</v>
      </c>
      <c r="M63" s="9">
        <v>3</v>
      </c>
    </row>
    <row r="64" spans="1:13" x14ac:dyDescent="0.3">
      <c r="A64" s="9" t="s">
        <v>137</v>
      </c>
      <c r="B64" s="10">
        <v>45702</v>
      </c>
      <c r="C64" s="9" t="s">
        <v>49</v>
      </c>
      <c r="D64" s="9" t="s">
        <v>81</v>
      </c>
      <c r="E64" s="9" t="s">
        <v>106</v>
      </c>
      <c r="F64" s="9" t="s">
        <v>75</v>
      </c>
      <c r="G64" s="9">
        <v>19</v>
      </c>
      <c r="H64" s="11">
        <v>2194.61</v>
      </c>
      <c r="I64" s="12">
        <v>0.1</v>
      </c>
      <c r="J64" s="11">
        <f t="shared" si="0"/>
        <v>37527.831000000006</v>
      </c>
      <c r="K64" s="11">
        <f>ROUND(J64*0.213,2)</f>
        <v>7993.43</v>
      </c>
      <c r="L64" s="9" t="s">
        <v>44</v>
      </c>
      <c r="M64" s="9">
        <v>1</v>
      </c>
    </row>
    <row r="65" spans="1:13" x14ac:dyDescent="0.3">
      <c r="A65" s="9" t="s">
        <v>138</v>
      </c>
      <c r="B65" s="10">
        <v>45824</v>
      </c>
      <c r="C65" s="9" t="s">
        <v>61</v>
      </c>
      <c r="D65" s="9" t="s">
        <v>81</v>
      </c>
      <c r="E65" s="9" t="s">
        <v>106</v>
      </c>
      <c r="F65" s="9" t="s">
        <v>47</v>
      </c>
      <c r="G65" s="9">
        <v>9</v>
      </c>
      <c r="H65" s="11">
        <v>1290.1400000000001</v>
      </c>
      <c r="I65" s="12">
        <v>0.1</v>
      </c>
      <c r="J65" s="11">
        <f t="shared" si="0"/>
        <v>10450.134</v>
      </c>
      <c r="K65" s="11">
        <f>ROUND(J65*0.083,2)</f>
        <v>867.36</v>
      </c>
      <c r="L65" s="9" t="s">
        <v>44</v>
      </c>
      <c r="M65" s="9">
        <v>5</v>
      </c>
    </row>
    <row r="66" spans="1:13" x14ac:dyDescent="0.3">
      <c r="A66" s="9" t="s">
        <v>139</v>
      </c>
      <c r="B66" s="10">
        <v>45755</v>
      </c>
      <c r="C66" s="9" t="s">
        <v>35</v>
      </c>
      <c r="D66" s="9" t="s">
        <v>41</v>
      </c>
      <c r="E66" s="9" t="s">
        <v>46</v>
      </c>
      <c r="F66" s="9" t="s">
        <v>75</v>
      </c>
      <c r="G66" s="9">
        <v>18</v>
      </c>
      <c r="H66" s="11">
        <v>6896.03</v>
      </c>
      <c r="I66" s="12">
        <v>0.15</v>
      </c>
      <c r="J66" s="11">
        <f t="shared" ref="J66:J101" si="1">G66*H66*(1-I66)</f>
        <v>105509.25899999999</v>
      </c>
      <c r="K66" s="11">
        <f>ROUND(J66*0.201,2)</f>
        <v>21207.360000000001</v>
      </c>
      <c r="L66" s="9" t="s">
        <v>44</v>
      </c>
      <c r="M66" s="9">
        <v>4</v>
      </c>
    </row>
    <row r="67" spans="1:13" x14ac:dyDescent="0.3">
      <c r="A67" s="9" t="s">
        <v>140</v>
      </c>
      <c r="B67" s="10">
        <v>45666</v>
      </c>
      <c r="C67" s="9" t="s">
        <v>35</v>
      </c>
      <c r="D67" s="9" t="s">
        <v>50</v>
      </c>
      <c r="E67" s="9" t="s">
        <v>68</v>
      </c>
      <c r="F67" s="9" t="s">
        <v>62</v>
      </c>
      <c r="G67" s="9">
        <v>23</v>
      </c>
      <c r="H67" s="11">
        <v>965.07</v>
      </c>
      <c r="I67" s="12">
        <v>0.15</v>
      </c>
      <c r="J67" s="11">
        <f t="shared" si="1"/>
        <v>18867.1185</v>
      </c>
      <c r="K67" s="11">
        <f>ROUND(J67*0.229,2)</f>
        <v>4320.57</v>
      </c>
      <c r="L67" s="9" t="s">
        <v>44</v>
      </c>
      <c r="M67" s="9">
        <v>4</v>
      </c>
    </row>
    <row r="68" spans="1:13" x14ac:dyDescent="0.3">
      <c r="A68" s="9" t="s">
        <v>141</v>
      </c>
      <c r="B68" s="10">
        <v>45834</v>
      </c>
      <c r="C68" s="9" t="s">
        <v>58</v>
      </c>
      <c r="D68" s="9" t="s">
        <v>54</v>
      </c>
      <c r="E68" s="9" t="s">
        <v>72</v>
      </c>
      <c r="F68" s="9" t="s">
        <v>47</v>
      </c>
      <c r="G68" s="9">
        <v>23</v>
      </c>
      <c r="H68" s="11">
        <v>1670.05</v>
      </c>
      <c r="I68" s="12">
        <v>0.05</v>
      </c>
      <c r="J68" s="11">
        <f t="shared" si="1"/>
        <v>36490.592499999999</v>
      </c>
      <c r="K68" s="11">
        <f>ROUND(J68*0.113,2)</f>
        <v>4123.4399999999996</v>
      </c>
      <c r="L68" s="9" t="s">
        <v>44</v>
      </c>
      <c r="M68" s="9">
        <v>2</v>
      </c>
    </row>
    <row r="69" spans="1:13" x14ac:dyDescent="0.3">
      <c r="A69" s="9" t="s">
        <v>142</v>
      </c>
      <c r="B69" s="10">
        <v>45756</v>
      </c>
      <c r="C69" s="9" t="s">
        <v>49</v>
      </c>
      <c r="D69" s="9" t="s">
        <v>36</v>
      </c>
      <c r="E69" s="9" t="s">
        <v>96</v>
      </c>
      <c r="F69" s="9" t="s">
        <v>66</v>
      </c>
      <c r="G69" s="9">
        <v>7</v>
      </c>
      <c r="H69" s="11">
        <v>9854.85</v>
      </c>
      <c r="I69" s="12">
        <v>0.1</v>
      </c>
      <c r="J69" s="11">
        <f t="shared" si="1"/>
        <v>62085.555</v>
      </c>
      <c r="K69" s="11">
        <f>ROUND(J69*0.344,2)</f>
        <v>21357.43</v>
      </c>
      <c r="L69" s="9" t="s">
        <v>44</v>
      </c>
      <c r="M69" s="9">
        <v>5</v>
      </c>
    </row>
    <row r="70" spans="1:13" x14ac:dyDescent="0.3">
      <c r="A70" s="9" t="s">
        <v>143</v>
      </c>
      <c r="B70" s="10">
        <v>45926</v>
      </c>
      <c r="C70" s="9" t="s">
        <v>49</v>
      </c>
      <c r="D70" s="9" t="s">
        <v>36</v>
      </c>
      <c r="E70" s="9" t="s">
        <v>118</v>
      </c>
      <c r="F70" s="9" t="s">
        <v>52</v>
      </c>
      <c r="G70" s="9">
        <v>8</v>
      </c>
      <c r="H70" s="11">
        <v>16335.52</v>
      </c>
      <c r="I70" s="12">
        <v>0.05</v>
      </c>
      <c r="J70" s="11">
        <f t="shared" si="1"/>
        <v>124149.952</v>
      </c>
      <c r="K70" s="11">
        <f>ROUND(J70*0.114,2)</f>
        <v>14153.09</v>
      </c>
      <c r="L70" s="9" t="s">
        <v>39</v>
      </c>
      <c r="M70" s="9">
        <v>5</v>
      </c>
    </row>
    <row r="71" spans="1:13" x14ac:dyDescent="0.3">
      <c r="A71" s="9" t="s">
        <v>144</v>
      </c>
      <c r="B71" s="10">
        <v>45681</v>
      </c>
      <c r="C71" s="9" t="s">
        <v>35</v>
      </c>
      <c r="D71" s="9" t="s">
        <v>54</v>
      </c>
      <c r="E71" s="9" t="s">
        <v>72</v>
      </c>
      <c r="F71" s="9" t="s">
        <v>66</v>
      </c>
      <c r="G71" s="9">
        <v>21</v>
      </c>
      <c r="H71" s="11">
        <v>3059.35</v>
      </c>
      <c r="I71" s="12">
        <v>0.1</v>
      </c>
      <c r="J71" s="11">
        <f t="shared" si="1"/>
        <v>57821.714999999997</v>
      </c>
      <c r="K71" s="11">
        <f>ROUND(J71*0.235,2)</f>
        <v>13588.1</v>
      </c>
      <c r="L71" s="9" t="s">
        <v>39</v>
      </c>
      <c r="M71" s="9">
        <v>1</v>
      </c>
    </row>
    <row r="72" spans="1:13" x14ac:dyDescent="0.3">
      <c r="A72" s="9" t="s">
        <v>145</v>
      </c>
      <c r="B72" s="10">
        <v>45898</v>
      </c>
      <c r="C72" s="9" t="s">
        <v>58</v>
      </c>
      <c r="D72" s="9" t="s">
        <v>81</v>
      </c>
      <c r="E72" s="9" t="s">
        <v>93</v>
      </c>
      <c r="F72" s="9" t="s">
        <v>66</v>
      </c>
      <c r="G72" s="9">
        <v>2</v>
      </c>
      <c r="H72" s="11">
        <v>995.8</v>
      </c>
      <c r="I72" s="12">
        <v>0.2</v>
      </c>
      <c r="J72" s="11">
        <f t="shared" si="1"/>
        <v>1593.28</v>
      </c>
      <c r="K72" s="11">
        <f>ROUND(J72*0.302,2)</f>
        <v>481.17</v>
      </c>
      <c r="L72" s="9" t="s">
        <v>44</v>
      </c>
      <c r="M72" s="9">
        <v>1</v>
      </c>
    </row>
    <row r="73" spans="1:13" x14ac:dyDescent="0.3">
      <c r="A73" s="9" t="s">
        <v>146</v>
      </c>
      <c r="B73" s="10">
        <v>45863</v>
      </c>
      <c r="C73" s="9" t="s">
        <v>58</v>
      </c>
      <c r="D73" s="9" t="s">
        <v>36</v>
      </c>
      <c r="E73" s="9" t="s">
        <v>96</v>
      </c>
      <c r="F73" s="9" t="s">
        <v>43</v>
      </c>
      <c r="G73" s="9">
        <v>5</v>
      </c>
      <c r="H73" s="11">
        <v>6841.51</v>
      </c>
      <c r="I73" s="12">
        <v>0.1</v>
      </c>
      <c r="J73" s="11">
        <f t="shared" si="1"/>
        <v>30786.795000000002</v>
      </c>
      <c r="K73" s="11">
        <f>ROUND(J73*0.348,2)</f>
        <v>10713.8</v>
      </c>
      <c r="L73" s="9" t="s">
        <v>44</v>
      </c>
      <c r="M73" s="9">
        <v>1</v>
      </c>
    </row>
    <row r="74" spans="1:13" x14ac:dyDescent="0.3">
      <c r="A74" s="9" t="s">
        <v>147</v>
      </c>
      <c r="B74" s="10">
        <v>45718</v>
      </c>
      <c r="C74" s="9" t="s">
        <v>58</v>
      </c>
      <c r="D74" s="9" t="s">
        <v>54</v>
      </c>
      <c r="E74" s="9" t="s">
        <v>79</v>
      </c>
      <c r="F74" s="9" t="s">
        <v>38</v>
      </c>
      <c r="G74" s="9">
        <v>25</v>
      </c>
      <c r="H74" s="11">
        <v>1900.62</v>
      </c>
      <c r="I74" s="12">
        <v>0.1</v>
      </c>
      <c r="J74" s="11">
        <f t="shared" si="1"/>
        <v>42763.950000000004</v>
      </c>
      <c r="K74" s="11">
        <f>ROUND(J74*0.312,2)</f>
        <v>13342.35</v>
      </c>
      <c r="L74" s="9" t="s">
        <v>44</v>
      </c>
      <c r="M74" s="9">
        <v>3</v>
      </c>
    </row>
    <row r="75" spans="1:13" x14ac:dyDescent="0.3">
      <c r="A75" s="9" t="s">
        <v>148</v>
      </c>
      <c r="B75" s="10">
        <v>45877</v>
      </c>
      <c r="C75" s="9" t="s">
        <v>49</v>
      </c>
      <c r="D75" s="9" t="s">
        <v>54</v>
      </c>
      <c r="E75" s="9" t="s">
        <v>79</v>
      </c>
      <c r="F75" s="9" t="s">
        <v>43</v>
      </c>
      <c r="G75" s="9">
        <v>20</v>
      </c>
      <c r="H75" s="11">
        <v>3366.36</v>
      </c>
      <c r="I75" s="12">
        <v>0</v>
      </c>
      <c r="J75" s="11">
        <f t="shared" si="1"/>
        <v>67327.199999999997</v>
      </c>
      <c r="K75" s="11">
        <f>ROUND(J75*0.151,2)</f>
        <v>10166.41</v>
      </c>
      <c r="L75" s="9" t="s">
        <v>39</v>
      </c>
      <c r="M75" s="9">
        <v>2</v>
      </c>
    </row>
    <row r="76" spans="1:13" x14ac:dyDescent="0.3">
      <c r="A76" s="9" t="s">
        <v>149</v>
      </c>
      <c r="B76" s="10">
        <v>45699</v>
      </c>
      <c r="C76" s="9" t="s">
        <v>61</v>
      </c>
      <c r="D76" s="9" t="s">
        <v>41</v>
      </c>
      <c r="E76" s="9" t="s">
        <v>42</v>
      </c>
      <c r="F76" s="9" t="s">
        <v>56</v>
      </c>
      <c r="G76" s="9">
        <v>6</v>
      </c>
      <c r="H76" s="11">
        <v>323.27999999999997</v>
      </c>
      <c r="I76" s="12">
        <v>0.1</v>
      </c>
      <c r="J76" s="11">
        <f t="shared" si="1"/>
        <v>1745.712</v>
      </c>
      <c r="K76" s="11">
        <f>ROUND(J76*0.089,2)</f>
        <v>155.37</v>
      </c>
      <c r="L76" s="9" t="s">
        <v>44</v>
      </c>
      <c r="M76" s="9">
        <v>3</v>
      </c>
    </row>
    <row r="77" spans="1:13" x14ac:dyDescent="0.3">
      <c r="A77" s="9" t="s">
        <v>150</v>
      </c>
      <c r="B77" s="10">
        <v>45805</v>
      </c>
      <c r="C77" s="9" t="s">
        <v>49</v>
      </c>
      <c r="D77" s="9" t="s">
        <v>81</v>
      </c>
      <c r="E77" s="9" t="s">
        <v>151</v>
      </c>
      <c r="F77" s="9" t="s">
        <v>38</v>
      </c>
      <c r="G77" s="9">
        <v>9</v>
      </c>
      <c r="H77" s="11">
        <v>2789.22</v>
      </c>
      <c r="I77" s="12">
        <v>0.15</v>
      </c>
      <c r="J77" s="11">
        <f t="shared" si="1"/>
        <v>21337.532999999999</v>
      </c>
      <c r="K77" s="11">
        <f>ROUND(J77*0.111,2)</f>
        <v>2368.4699999999998</v>
      </c>
      <c r="L77" s="9" t="s">
        <v>39</v>
      </c>
      <c r="M77" s="9">
        <v>4</v>
      </c>
    </row>
    <row r="78" spans="1:13" x14ac:dyDescent="0.3">
      <c r="A78" s="9" t="s">
        <v>152</v>
      </c>
      <c r="B78" s="10">
        <v>45773</v>
      </c>
      <c r="C78" s="9" t="s">
        <v>61</v>
      </c>
      <c r="D78" s="9" t="s">
        <v>50</v>
      </c>
      <c r="E78" s="9" t="s">
        <v>68</v>
      </c>
      <c r="F78" s="9" t="s">
        <v>56</v>
      </c>
      <c r="G78" s="9">
        <v>2</v>
      </c>
      <c r="H78" s="11">
        <v>705.84</v>
      </c>
      <c r="I78" s="12">
        <v>0.05</v>
      </c>
      <c r="J78" s="11">
        <f t="shared" si="1"/>
        <v>1341.096</v>
      </c>
      <c r="K78" s="11">
        <f>ROUND(J78*0.114,2)</f>
        <v>152.88</v>
      </c>
      <c r="L78" s="9" t="s">
        <v>44</v>
      </c>
      <c r="M78" s="9">
        <v>4</v>
      </c>
    </row>
    <row r="79" spans="1:13" x14ac:dyDescent="0.3">
      <c r="A79" s="9" t="s">
        <v>153</v>
      </c>
      <c r="B79" s="10">
        <v>46010</v>
      </c>
      <c r="C79" s="9" t="s">
        <v>49</v>
      </c>
      <c r="D79" s="9" t="s">
        <v>81</v>
      </c>
      <c r="E79" s="9" t="s">
        <v>93</v>
      </c>
      <c r="F79" s="9" t="s">
        <v>75</v>
      </c>
      <c r="G79" s="9">
        <v>15</v>
      </c>
      <c r="H79" s="11">
        <v>419.48</v>
      </c>
      <c r="I79" s="12">
        <v>0</v>
      </c>
      <c r="J79" s="11">
        <f t="shared" si="1"/>
        <v>6292.2000000000007</v>
      </c>
      <c r="K79" s="11">
        <f>ROUND(J79*0.243,2)</f>
        <v>1529</v>
      </c>
      <c r="L79" s="9" t="s">
        <v>44</v>
      </c>
      <c r="M79" s="9">
        <v>3</v>
      </c>
    </row>
    <row r="80" spans="1:13" x14ac:dyDescent="0.3">
      <c r="A80" s="9" t="s">
        <v>154</v>
      </c>
      <c r="B80" s="10">
        <v>45671</v>
      </c>
      <c r="C80" s="9" t="s">
        <v>35</v>
      </c>
      <c r="D80" s="9" t="s">
        <v>41</v>
      </c>
      <c r="E80" s="9" t="s">
        <v>86</v>
      </c>
      <c r="F80" s="9" t="s">
        <v>43</v>
      </c>
      <c r="G80" s="9">
        <v>25</v>
      </c>
      <c r="H80" s="11">
        <v>6148.85</v>
      </c>
      <c r="I80" s="12">
        <v>0.05</v>
      </c>
      <c r="J80" s="11">
        <f t="shared" si="1"/>
        <v>146035.1875</v>
      </c>
      <c r="K80" s="11">
        <f>ROUND(J80*0.207,2)</f>
        <v>30229.279999999999</v>
      </c>
      <c r="L80" s="9" t="s">
        <v>39</v>
      </c>
      <c r="M80" s="9">
        <v>2</v>
      </c>
    </row>
    <row r="81" spans="1:13" x14ac:dyDescent="0.3">
      <c r="A81" s="9" t="s">
        <v>155</v>
      </c>
      <c r="B81" s="10">
        <v>45991</v>
      </c>
      <c r="C81" s="9" t="s">
        <v>58</v>
      </c>
      <c r="D81" s="9" t="s">
        <v>50</v>
      </c>
      <c r="E81" s="9" t="s">
        <v>68</v>
      </c>
      <c r="F81" s="9" t="s">
        <v>62</v>
      </c>
      <c r="G81" s="9">
        <v>21</v>
      </c>
      <c r="H81" s="11">
        <v>2877.72</v>
      </c>
      <c r="I81" s="12">
        <v>0</v>
      </c>
      <c r="J81" s="11">
        <f t="shared" si="1"/>
        <v>60432.119999999995</v>
      </c>
      <c r="K81" s="11">
        <f>ROUND(J81*0.19,2)</f>
        <v>11482.1</v>
      </c>
      <c r="L81" s="9" t="s">
        <v>44</v>
      </c>
      <c r="M81" s="9">
        <v>3</v>
      </c>
    </row>
    <row r="82" spans="1:13" x14ac:dyDescent="0.3">
      <c r="A82" s="9" t="s">
        <v>156</v>
      </c>
      <c r="B82" s="10">
        <v>45822</v>
      </c>
      <c r="C82" s="9" t="s">
        <v>35</v>
      </c>
      <c r="D82" s="9" t="s">
        <v>41</v>
      </c>
      <c r="E82" s="9" t="s">
        <v>65</v>
      </c>
      <c r="F82" s="9" t="s">
        <v>62</v>
      </c>
      <c r="G82" s="9">
        <v>23</v>
      </c>
      <c r="H82" s="11">
        <v>4610.58</v>
      </c>
      <c r="I82" s="12">
        <v>0.15</v>
      </c>
      <c r="J82" s="11">
        <f t="shared" si="1"/>
        <v>90136.838999999993</v>
      </c>
      <c r="K82" s="11">
        <f>ROUND(J82*0.09,2)</f>
        <v>8112.32</v>
      </c>
      <c r="L82" s="9" t="s">
        <v>44</v>
      </c>
      <c r="M82" s="9">
        <v>5</v>
      </c>
    </row>
    <row r="83" spans="1:13" x14ac:dyDescent="0.3">
      <c r="A83" s="9" t="s">
        <v>157</v>
      </c>
      <c r="B83" s="10">
        <v>45703</v>
      </c>
      <c r="C83" s="9" t="s">
        <v>49</v>
      </c>
      <c r="D83" s="9" t="s">
        <v>50</v>
      </c>
      <c r="E83" s="9" t="s">
        <v>102</v>
      </c>
      <c r="F83" s="9" t="s">
        <v>56</v>
      </c>
      <c r="G83" s="9">
        <v>25</v>
      </c>
      <c r="H83" s="11">
        <v>1503.99</v>
      </c>
      <c r="I83" s="12">
        <v>0.1</v>
      </c>
      <c r="J83" s="11">
        <f t="shared" si="1"/>
        <v>33839.775000000001</v>
      </c>
      <c r="K83" s="11">
        <f>ROUND(J83*0.205,2)</f>
        <v>6937.15</v>
      </c>
      <c r="L83" s="9" t="s">
        <v>39</v>
      </c>
      <c r="M83" s="9">
        <v>5</v>
      </c>
    </row>
    <row r="84" spans="1:13" x14ac:dyDescent="0.3">
      <c r="A84" s="9" t="s">
        <v>158</v>
      </c>
      <c r="B84" s="10">
        <v>45685</v>
      </c>
      <c r="C84" s="9" t="s">
        <v>61</v>
      </c>
      <c r="D84" s="9" t="s">
        <v>54</v>
      </c>
      <c r="E84" s="9" t="s">
        <v>72</v>
      </c>
      <c r="F84" s="9" t="s">
        <v>75</v>
      </c>
      <c r="G84" s="9">
        <v>21</v>
      </c>
      <c r="H84" s="11">
        <v>1630.84</v>
      </c>
      <c r="I84" s="12">
        <v>0</v>
      </c>
      <c r="J84" s="11">
        <f t="shared" si="1"/>
        <v>34247.64</v>
      </c>
      <c r="K84" s="11">
        <f>ROUND(J84*0.228,2)</f>
        <v>7808.46</v>
      </c>
      <c r="L84" s="9" t="s">
        <v>39</v>
      </c>
      <c r="M84" s="9">
        <v>3</v>
      </c>
    </row>
    <row r="85" spans="1:13" x14ac:dyDescent="0.3">
      <c r="A85" s="9" t="s">
        <v>159</v>
      </c>
      <c r="B85" s="10">
        <v>45805</v>
      </c>
      <c r="C85" s="9" t="s">
        <v>58</v>
      </c>
      <c r="D85" s="9" t="s">
        <v>81</v>
      </c>
      <c r="E85" s="9" t="s">
        <v>151</v>
      </c>
      <c r="F85" s="9" t="s">
        <v>43</v>
      </c>
      <c r="G85" s="9">
        <v>21</v>
      </c>
      <c r="H85" s="11">
        <v>2189.7199999999998</v>
      </c>
      <c r="I85" s="12">
        <v>0</v>
      </c>
      <c r="J85" s="11">
        <f t="shared" si="1"/>
        <v>45984.119999999995</v>
      </c>
      <c r="K85" s="11">
        <f>ROUND(J85*0.229,2)</f>
        <v>10530.36</v>
      </c>
      <c r="L85" s="9" t="s">
        <v>39</v>
      </c>
      <c r="M85" s="9">
        <v>3</v>
      </c>
    </row>
    <row r="86" spans="1:13" x14ac:dyDescent="0.3">
      <c r="A86" s="9" t="s">
        <v>160</v>
      </c>
      <c r="B86" s="10">
        <v>45940</v>
      </c>
      <c r="C86" s="9" t="s">
        <v>58</v>
      </c>
      <c r="D86" s="9" t="s">
        <v>36</v>
      </c>
      <c r="E86" s="9" t="s">
        <v>118</v>
      </c>
      <c r="F86" s="9" t="s">
        <v>56</v>
      </c>
      <c r="G86" s="9">
        <v>15</v>
      </c>
      <c r="H86" s="11">
        <v>42625.67</v>
      </c>
      <c r="I86" s="12">
        <v>0.15</v>
      </c>
      <c r="J86" s="11">
        <f t="shared" si="1"/>
        <v>543477.29249999998</v>
      </c>
      <c r="K86" s="11">
        <f>ROUND(J86*0.332,2)</f>
        <v>180434.46</v>
      </c>
      <c r="L86" s="9" t="s">
        <v>39</v>
      </c>
      <c r="M86" s="9">
        <v>4</v>
      </c>
    </row>
    <row r="87" spans="1:13" x14ac:dyDescent="0.3">
      <c r="A87" s="9" t="s">
        <v>161</v>
      </c>
      <c r="B87" s="10">
        <v>45807</v>
      </c>
      <c r="C87" s="9" t="s">
        <v>49</v>
      </c>
      <c r="D87" s="9" t="s">
        <v>81</v>
      </c>
      <c r="E87" s="9" t="s">
        <v>91</v>
      </c>
      <c r="F87" s="9" t="s">
        <v>75</v>
      </c>
      <c r="G87" s="9">
        <v>8</v>
      </c>
      <c r="H87" s="11">
        <v>1680.23</v>
      </c>
      <c r="I87" s="12">
        <v>0</v>
      </c>
      <c r="J87" s="11">
        <f t="shared" si="1"/>
        <v>13441.84</v>
      </c>
      <c r="K87" s="11">
        <f>ROUND(J87*0.329,2)</f>
        <v>4422.37</v>
      </c>
      <c r="L87" s="9" t="s">
        <v>44</v>
      </c>
      <c r="M87" s="9">
        <v>2</v>
      </c>
    </row>
    <row r="88" spans="1:13" x14ac:dyDescent="0.3">
      <c r="A88" s="9" t="s">
        <v>162</v>
      </c>
      <c r="B88" s="10">
        <v>45918</v>
      </c>
      <c r="C88" s="9" t="s">
        <v>61</v>
      </c>
      <c r="D88" s="9" t="s">
        <v>36</v>
      </c>
      <c r="E88" s="9" t="s">
        <v>37</v>
      </c>
      <c r="F88" s="9" t="s">
        <v>62</v>
      </c>
      <c r="G88" s="9">
        <v>11</v>
      </c>
      <c r="H88" s="11">
        <v>42051.040000000001</v>
      </c>
      <c r="I88" s="12">
        <v>0.1</v>
      </c>
      <c r="J88" s="11">
        <f t="shared" si="1"/>
        <v>416305.29600000003</v>
      </c>
      <c r="K88" s="11">
        <f>ROUND(J88*0.156,2)</f>
        <v>64943.63</v>
      </c>
      <c r="L88" s="9" t="s">
        <v>44</v>
      </c>
      <c r="M88" s="9">
        <v>1</v>
      </c>
    </row>
    <row r="89" spans="1:13" x14ac:dyDescent="0.3">
      <c r="A89" s="9" t="s">
        <v>163</v>
      </c>
      <c r="B89" s="10">
        <v>45810</v>
      </c>
      <c r="C89" s="9" t="s">
        <v>58</v>
      </c>
      <c r="D89" s="9" t="s">
        <v>41</v>
      </c>
      <c r="E89" s="9" t="s">
        <v>46</v>
      </c>
      <c r="F89" s="9" t="s">
        <v>75</v>
      </c>
      <c r="G89" s="9">
        <v>12</v>
      </c>
      <c r="H89" s="11">
        <v>3192.23</v>
      </c>
      <c r="I89" s="12">
        <v>0.2</v>
      </c>
      <c r="J89" s="11">
        <f t="shared" si="1"/>
        <v>30645.408000000003</v>
      </c>
      <c r="K89" s="11">
        <f>ROUND(J89*0.332,2)</f>
        <v>10174.280000000001</v>
      </c>
      <c r="L89" s="9" t="s">
        <v>44</v>
      </c>
      <c r="M89" s="9">
        <v>4</v>
      </c>
    </row>
    <row r="90" spans="1:13" x14ac:dyDescent="0.3">
      <c r="A90" s="9" t="s">
        <v>164</v>
      </c>
      <c r="B90" s="10">
        <v>45754</v>
      </c>
      <c r="C90" s="9" t="s">
        <v>61</v>
      </c>
      <c r="D90" s="9" t="s">
        <v>54</v>
      </c>
      <c r="E90" s="9" t="s">
        <v>165</v>
      </c>
      <c r="F90" s="9" t="s">
        <v>38</v>
      </c>
      <c r="G90" s="9">
        <v>25</v>
      </c>
      <c r="H90" s="11">
        <v>1526.1</v>
      </c>
      <c r="I90" s="12">
        <v>0.05</v>
      </c>
      <c r="J90" s="11">
        <f t="shared" si="1"/>
        <v>36244.875</v>
      </c>
      <c r="K90" s="11">
        <f>ROUND(J90*0.184,2)</f>
        <v>6669.06</v>
      </c>
      <c r="L90" s="9" t="s">
        <v>44</v>
      </c>
      <c r="M90" s="9">
        <v>4</v>
      </c>
    </row>
    <row r="91" spans="1:13" x14ac:dyDescent="0.3">
      <c r="A91" s="9" t="s">
        <v>166</v>
      </c>
      <c r="B91" s="10">
        <v>45997</v>
      </c>
      <c r="C91" s="9" t="s">
        <v>61</v>
      </c>
      <c r="D91" s="9" t="s">
        <v>81</v>
      </c>
      <c r="E91" s="9" t="s">
        <v>151</v>
      </c>
      <c r="F91" s="9" t="s">
        <v>66</v>
      </c>
      <c r="G91" s="9">
        <v>17</v>
      </c>
      <c r="H91" s="11">
        <v>3383.93</v>
      </c>
      <c r="I91" s="12">
        <v>0.05</v>
      </c>
      <c r="J91" s="11">
        <f t="shared" si="1"/>
        <v>54650.469499999992</v>
      </c>
      <c r="K91" s="11">
        <f>ROUND(J91*0.107,2)</f>
        <v>5847.6</v>
      </c>
      <c r="L91" s="9" t="s">
        <v>39</v>
      </c>
      <c r="M91" s="9">
        <v>4</v>
      </c>
    </row>
    <row r="92" spans="1:13" x14ac:dyDescent="0.3">
      <c r="A92" s="9" t="s">
        <v>167</v>
      </c>
      <c r="B92" s="10">
        <v>45891</v>
      </c>
      <c r="C92" s="9" t="s">
        <v>35</v>
      </c>
      <c r="D92" s="9" t="s">
        <v>41</v>
      </c>
      <c r="E92" s="9" t="s">
        <v>46</v>
      </c>
      <c r="F92" s="9" t="s">
        <v>66</v>
      </c>
      <c r="G92" s="9">
        <v>3</v>
      </c>
      <c r="H92" s="11">
        <v>4384.57</v>
      </c>
      <c r="I92" s="12">
        <v>0.05</v>
      </c>
      <c r="J92" s="11">
        <f t="shared" si="1"/>
        <v>12496.024499999998</v>
      </c>
      <c r="K92" s="11">
        <f>ROUND(J92*0.267,2)</f>
        <v>3336.44</v>
      </c>
      <c r="L92" s="9" t="s">
        <v>44</v>
      </c>
      <c r="M92" s="9">
        <v>5</v>
      </c>
    </row>
    <row r="93" spans="1:13" x14ac:dyDescent="0.3">
      <c r="A93" s="9" t="s">
        <v>168</v>
      </c>
      <c r="B93" s="10">
        <v>45990</v>
      </c>
      <c r="C93" s="9" t="s">
        <v>35</v>
      </c>
      <c r="D93" s="9" t="s">
        <v>50</v>
      </c>
      <c r="E93" s="9" t="s">
        <v>51</v>
      </c>
      <c r="F93" s="9" t="s">
        <v>62</v>
      </c>
      <c r="G93" s="9">
        <v>11</v>
      </c>
      <c r="H93" s="11">
        <v>2249.7800000000002</v>
      </c>
      <c r="I93" s="12">
        <v>0.2</v>
      </c>
      <c r="J93" s="11">
        <f t="shared" si="1"/>
        <v>19798.064000000002</v>
      </c>
      <c r="K93" s="11">
        <f>ROUND(J93*0.09,2)</f>
        <v>1781.83</v>
      </c>
      <c r="L93" s="9" t="s">
        <v>44</v>
      </c>
      <c r="M93" s="9">
        <v>5</v>
      </c>
    </row>
    <row r="94" spans="1:13" x14ac:dyDescent="0.3">
      <c r="A94" s="9" t="s">
        <v>169</v>
      </c>
      <c r="B94" s="10">
        <v>45693</v>
      </c>
      <c r="C94" s="9" t="s">
        <v>61</v>
      </c>
      <c r="D94" s="9" t="s">
        <v>50</v>
      </c>
      <c r="E94" s="9" t="s">
        <v>68</v>
      </c>
      <c r="F94" s="9" t="s">
        <v>56</v>
      </c>
      <c r="G94" s="9">
        <v>14</v>
      </c>
      <c r="H94" s="11">
        <v>3427.43</v>
      </c>
      <c r="I94" s="12">
        <v>0.2</v>
      </c>
      <c r="J94" s="11">
        <f t="shared" si="1"/>
        <v>38387.216</v>
      </c>
      <c r="K94" s="11">
        <f>ROUND(J94*0.125,2)</f>
        <v>4798.3999999999996</v>
      </c>
      <c r="L94" s="9" t="s">
        <v>39</v>
      </c>
      <c r="M94" s="9">
        <v>4</v>
      </c>
    </row>
    <row r="95" spans="1:13" x14ac:dyDescent="0.3">
      <c r="A95" s="9" t="s">
        <v>170</v>
      </c>
      <c r="B95" s="10">
        <v>45811</v>
      </c>
      <c r="C95" s="9" t="s">
        <v>35</v>
      </c>
      <c r="D95" s="9" t="s">
        <v>36</v>
      </c>
      <c r="E95" s="9" t="s">
        <v>37</v>
      </c>
      <c r="F95" s="9" t="s">
        <v>43</v>
      </c>
      <c r="G95" s="9">
        <v>10</v>
      </c>
      <c r="H95" s="11">
        <v>16227.08</v>
      </c>
      <c r="I95" s="12">
        <v>0.1</v>
      </c>
      <c r="J95" s="11">
        <f t="shared" si="1"/>
        <v>146043.72</v>
      </c>
      <c r="K95" s="11">
        <f>ROUND(J95*0.223,2)</f>
        <v>32567.75</v>
      </c>
      <c r="L95" s="9" t="s">
        <v>39</v>
      </c>
      <c r="M95" s="9">
        <v>2</v>
      </c>
    </row>
    <row r="96" spans="1:13" x14ac:dyDescent="0.3">
      <c r="A96" s="9" t="s">
        <v>171</v>
      </c>
      <c r="B96" s="10">
        <v>45947</v>
      </c>
      <c r="C96" s="9" t="s">
        <v>61</v>
      </c>
      <c r="D96" s="9" t="s">
        <v>41</v>
      </c>
      <c r="E96" s="9" t="s">
        <v>42</v>
      </c>
      <c r="F96" s="9" t="s">
        <v>56</v>
      </c>
      <c r="G96" s="9">
        <v>20</v>
      </c>
      <c r="H96" s="11">
        <v>7876.3</v>
      </c>
      <c r="I96" s="12">
        <v>0.1</v>
      </c>
      <c r="J96" s="11">
        <f t="shared" si="1"/>
        <v>141773.4</v>
      </c>
      <c r="K96" s="11">
        <f>ROUND(J96*0.326,2)</f>
        <v>46218.13</v>
      </c>
      <c r="L96" s="9" t="s">
        <v>39</v>
      </c>
      <c r="M96" s="9">
        <v>4</v>
      </c>
    </row>
    <row r="97" spans="1:13" x14ac:dyDescent="0.3">
      <c r="A97" s="9" t="s">
        <v>172</v>
      </c>
      <c r="B97" s="10">
        <v>45731</v>
      </c>
      <c r="C97" s="9" t="s">
        <v>61</v>
      </c>
      <c r="D97" s="9" t="s">
        <v>81</v>
      </c>
      <c r="E97" s="9" t="s">
        <v>93</v>
      </c>
      <c r="F97" s="9" t="s">
        <v>75</v>
      </c>
      <c r="G97" s="9">
        <v>9</v>
      </c>
      <c r="H97" s="11">
        <v>2383.92</v>
      </c>
      <c r="I97" s="12">
        <v>0.2</v>
      </c>
      <c r="J97" s="11">
        <f t="shared" si="1"/>
        <v>17164.223999999998</v>
      </c>
      <c r="K97" s="11">
        <f>ROUND(J97*0.263,2)</f>
        <v>4514.1899999999996</v>
      </c>
      <c r="L97" s="9" t="s">
        <v>44</v>
      </c>
      <c r="M97" s="9">
        <v>3</v>
      </c>
    </row>
    <row r="98" spans="1:13" x14ac:dyDescent="0.3">
      <c r="A98" s="9" t="s">
        <v>173</v>
      </c>
      <c r="B98" s="10">
        <v>45738</v>
      </c>
      <c r="C98" s="9" t="s">
        <v>35</v>
      </c>
      <c r="D98" s="9" t="s">
        <v>81</v>
      </c>
      <c r="E98" s="9" t="s">
        <v>93</v>
      </c>
      <c r="F98" s="9" t="s">
        <v>52</v>
      </c>
      <c r="G98" s="9">
        <v>21</v>
      </c>
      <c r="H98" s="11">
        <v>3372.8</v>
      </c>
      <c r="I98" s="12">
        <v>0.15</v>
      </c>
      <c r="J98" s="11">
        <f t="shared" si="1"/>
        <v>60204.480000000003</v>
      </c>
      <c r="K98" s="11">
        <f>ROUND(J98*0.308,2)</f>
        <v>18542.98</v>
      </c>
      <c r="L98" s="9" t="s">
        <v>44</v>
      </c>
      <c r="M98" s="9">
        <v>4</v>
      </c>
    </row>
    <row r="99" spans="1:13" x14ac:dyDescent="0.3">
      <c r="A99" s="9" t="s">
        <v>174</v>
      </c>
      <c r="B99" s="10">
        <v>45759</v>
      </c>
      <c r="C99" s="9" t="s">
        <v>58</v>
      </c>
      <c r="D99" s="9" t="s">
        <v>81</v>
      </c>
      <c r="E99" s="9" t="s">
        <v>151</v>
      </c>
      <c r="F99" s="9" t="s">
        <v>38</v>
      </c>
      <c r="G99" s="9">
        <v>13</v>
      </c>
      <c r="H99" s="11">
        <v>2065.94</v>
      </c>
      <c r="I99" s="12">
        <v>0.1</v>
      </c>
      <c r="J99" s="11">
        <f t="shared" si="1"/>
        <v>24171.498000000003</v>
      </c>
      <c r="K99" s="11">
        <f>ROUND(J99*0.086,2)</f>
        <v>2078.75</v>
      </c>
      <c r="L99" s="9" t="s">
        <v>44</v>
      </c>
      <c r="M99" s="9">
        <v>3</v>
      </c>
    </row>
    <row r="100" spans="1:13" x14ac:dyDescent="0.3">
      <c r="A100" s="9" t="s">
        <v>175</v>
      </c>
      <c r="B100" s="10">
        <v>45995</v>
      </c>
      <c r="C100" s="9" t="s">
        <v>58</v>
      </c>
      <c r="D100" s="9" t="s">
        <v>50</v>
      </c>
      <c r="E100" s="9" t="s">
        <v>176</v>
      </c>
      <c r="F100" s="9" t="s">
        <v>43</v>
      </c>
      <c r="G100" s="9">
        <v>20</v>
      </c>
      <c r="H100" s="11">
        <v>2646.33</v>
      </c>
      <c r="I100" s="12">
        <v>0.2</v>
      </c>
      <c r="J100" s="11">
        <f t="shared" si="1"/>
        <v>42341.279999999999</v>
      </c>
      <c r="K100" s="11">
        <f>ROUND(J100*0.244,2)</f>
        <v>10331.27</v>
      </c>
      <c r="L100" s="9" t="s">
        <v>44</v>
      </c>
      <c r="M100" s="9">
        <v>2</v>
      </c>
    </row>
    <row r="101" spans="1:13" x14ac:dyDescent="0.3">
      <c r="A101" s="9" t="s">
        <v>177</v>
      </c>
      <c r="B101" s="10">
        <v>45838</v>
      </c>
      <c r="C101" s="9" t="s">
        <v>61</v>
      </c>
      <c r="D101" s="9" t="s">
        <v>41</v>
      </c>
      <c r="E101" s="9" t="s">
        <v>86</v>
      </c>
      <c r="F101" s="9" t="s">
        <v>52</v>
      </c>
      <c r="G101" s="9">
        <v>22</v>
      </c>
      <c r="H101" s="11">
        <v>6873.52</v>
      </c>
      <c r="I101" s="12">
        <v>0.2</v>
      </c>
      <c r="J101" s="11">
        <f t="shared" si="1"/>
        <v>120973.952</v>
      </c>
      <c r="K101" s="11">
        <f>ROUND(J101*0.324,2)</f>
        <v>39195.56</v>
      </c>
      <c r="L101" s="9" t="s">
        <v>39</v>
      </c>
      <c r="M101" s="9">
        <v>1</v>
      </c>
    </row>
  </sheetData>
  <autoFilter ref="A1:M101" xr:uid="{00000000-0009-0000-0000-000001000000}"/>
  <conditionalFormatting sqref="J2:J101">
    <cfRule type="cellIs" dxfId="8" priority="9" operator="greaterThan">
      <formula>20000</formula>
    </cfRule>
    <cfRule type="cellIs" dxfId="7" priority="8" operator="lessThan">
      <formula>5000</formula>
    </cfRule>
  </conditionalFormatting>
  <conditionalFormatting sqref="K2:K101">
    <cfRule type="dataBar" priority="7">
      <dataBar>
        <cfvo type="min"/>
        <cfvo type="max"/>
        <color theme="8" tint="-0.249977111117893"/>
      </dataBar>
      <extLst>
        <ext xmlns:x14="http://schemas.microsoft.com/office/spreadsheetml/2009/9/main" uri="{B025F937-C7B1-47D3-B67F-A62EFF666E3E}">
          <x14:id>{4C48A356-9724-4FAF-A208-E424DB325BFA}</x14:id>
        </ext>
      </extLst>
    </cfRule>
  </conditionalFormatting>
  <conditionalFormatting sqref="M2:M101">
    <cfRule type="colorScale" priority="6">
      <colorScale>
        <cfvo type="min"/>
        <cfvo type="percentile" val="50"/>
        <cfvo type="max"/>
        <color rgb="FFFF0000"/>
        <color rgb="FFFFC000"/>
        <color rgb="FF00B050"/>
      </colorScale>
    </cfRule>
  </conditionalFormatting>
  <conditionalFormatting sqref="E2:E101">
    <cfRule type="duplicateValues" dxfId="6" priority="3"/>
  </conditionalFormatting>
  <conditionalFormatting sqref="L2:L101">
    <cfRule type="expression" dxfId="5" priority="2">
      <formula>$L2="Wholesale"</formula>
    </cfRule>
  </conditionalFormatting>
  <conditionalFormatting sqref="B2:B101">
    <cfRule type="cellIs" dxfId="0" priority="1" operator="between">
      <formula>45992</formula>
      <formula>46022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C48A356-9724-4FAF-A208-E424DB325B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K2:K101</xm:sqref>
        </x14:conditionalFormatting>
        <x14:conditionalFormatting xmlns:xm="http://schemas.microsoft.com/office/excel/2006/main">
          <x14:cfRule type="iconSet" priority="5" id="{DF21D08B-13CC-47CF-9961-7B210BBE4CCA}">
            <x14:iconSet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Arrows" iconId="0"/>
              <x14:cfIcon iconSet="3Arrows" iconId="1"/>
              <x14:cfIcon iconSet="3Arrows" iconId="2"/>
            </x14:iconSet>
          </x14:cfRule>
          <xm:sqref>I18:I101</xm:sqref>
        </x14:conditionalFormatting>
        <x14:conditionalFormatting xmlns:xm="http://schemas.microsoft.com/office/excel/2006/main">
          <x14:cfRule type="iconSet" priority="4" id="{330D1DEB-9DD8-4C05-9DD5-BF5E814E126D}">
            <x14:iconSet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Arrows" iconId="0"/>
              <x14:cfIcon iconSet="3Arrows" iconId="1"/>
              <x14:cfIcon iconSet="3Arrows" iconId="2"/>
            </x14:iconSet>
          </x14:cfRule>
          <xm:sqref>I2:I17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1"/>
  <sheetViews>
    <sheetView zoomScaleNormal="100" workbookViewId="0">
      <pane ySplit="1" topLeftCell="A2" activePane="bottomLeft" state="frozen"/>
      <selection pane="bottomLeft" activeCell="O17" sqref="O17"/>
    </sheetView>
  </sheetViews>
  <sheetFormatPr defaultColWidth="8.6640625" defaultRowHeight="14.4" x14ac:dyDescent="0.3"/>
  <cols>
    <col min="1" max="1" width="10" customWidth="1"/>
    <col min="2" max="2" width="13" customWidth="1"/>
    <col min="3" max="3" width="10.6640625" bestFit="1" customWidth="1"/>
    <col min="4" max="4" width="12" customWidth="1"/>
    <col min="5" max="5" width="15" customWidth="1"/>
    <col min="6" max="6" width="11" customWidth="1"/>
    <col min="7" max="7" width="8" customWidth="1"/>
    <col min="8" max="8" width="12" customWidth="1"/>
    <col min="9" max="9" width="10" customWidth="1"/>
    <col min="10" max="10" width="13" customWidth="1"/>
    <col min="11" max="11" width="12" customWidth="1"/>
    <col min="12" max="12" width="13" customWidth="1"/>
    <col min="13" max="13" width="10.33203125" bestFit="1" customWidth="1"/>
  </cols>
  <sheetData>
    <row r="1" spans="1:13" x14ac:dyDescent="0.3">
      <c r="A1" s="8" t="s">
        <v>21</v>
      </c>
      <c r="B1" s="8" t="s">
        <v>22</v>
      </c>
      <c r="C1" s="8" t="s">
        <v>23</v>
      </c>
      <c r="D1" s="8" t="s">
        <v>24</v>
      </c>
      <c r="E1" s="8" t="s">
        <v>25</v>
      </c>
      <c r="F1" s="8" t="s">
        <v>26</v>
      </c>
      <c r="G1" s="8" t="s">
        <v>27</v>
      </c>
      <c r="H1" s="8" t="s">
        <v>28</v>
      </c>
      <c r="I1" s="8" t="s">
        <v>29</v>
      </c>
      <c r="J1" s="8" t="s">
        <v>30</v>
      </c>
      <c r="K1" s="8" t="s">
        <v>31</v>
      </c>
      <c r="L1" s="8" t="s">
        <v>32</v>
      </c>
      <c r="M1" s="8" t="s">
        <v>33</v>
      </c>
    </row>
    <row r="2" spans="1:13" x14ac:dyDescent="0.3">
      <c r="A2" s="9" t="s">
        <v>34</v>
      </c>
      <c r="B2" s="10">
        <v>45985</v>
      </c>
      <c r="C2" s="9" t="s">
        <v>35</v>
      </c>
      <c r="D2" s="9" t="s">
        <v>36</v>
      </c>
      <c r="E2" s="9" t="s">
        <v>37</v>
      </c>
      <c r="F2" s="9" t="s">
        <v>38</v>
      </c>
      <c r="G2" s="9">
        <v>8</v>
      </c>
      <c r="H2" s="11">
        <v>6408.28</v>
      </c>
      <c r="I2" s="12">
        <v>0</v>
      </c>
      <c r="J2" s="11">
        <f t="shared" ref="J2:J33" si="0">G2*H2*(1-I2)</f>
        <v>51266.239999999998</v>
      </c>
      <c r="K2" s="11">
        <f>ROUND(J2*0.194,2)</f>
        <v>9945.65</v>
      </c>
      <c r="L2" s="9" t="s">
        <v>39</v>
      </c>
      <c r="M2" s="9">
        <v>5</v>
      </c>
    </row>
    <row r="3" spans="1:13" x14ac:dyDescent="0.3">
      <c r="A3" s="9" t="s">
        <v>40</v>
      </c>
      <c r="B3" s="10">
        <v>45673</v>
      </c>
      <c r="C3" s="9" t="s">
        <v>35</v>
      </c>
      <c r="D3" s="9" t="s">
        <v>41</v>
      </c>
      <c r="E3" s="9" t="s">
        <v>42</v>
      </c>
      <c r="F3" s="9" t="s">
        <v>43</v>
      </c>
      <c r="G3" s="9">
        <v>18</v>
      </c>
      <c r="H3" s="11">
        <v>2029.89</v>
      </c>
      <c r="I3" s="12">
        <v>0.15</v>
      </c>
      <c r="J3" s="11">
        <f t="shared" si="0"/>
        <v>31057.317000000003</v>
      </c>
      <c r="K3" s="11">
        <f>ROUND(J3*0.201,2)</f>
        <v>6242.52</v>
      </c>
      <c r="L3" s="9" t="s">
        <v>44</v>
      </c>
      <c r="M3" s="9">
        <v>2</v>
      </c>
    </row>
    <row r="4" spans="1:13" x14ac:dyDescent="0.3">
      <c r="A4" s="9" t="s">
        <v>45</v>
      </c>
      <c r="B4" s="10">
        <v>45800</v>
      </c>
      <c r="C4" s="9" t="s">
        <v>35</v>
      </c>
      <c r="D4" s="9" t="s">
        <v>41</v>
      </c>
      <c r="E4" s="9" t="s">
        <v>46</v>
      </c>
      <c r="F4" s="9" t="s">
        <v>47</v>
      </c>
      <c r="G4" s="9">
        <v>9</v>
      </c>
      <c r="H4" s="11">
        <v>1652.67</v>
      </c>
      <c r="I4" s="12">
        <v>0.2</v>
      </c>
      <c r="J4" s="11">
        <f t="shared" si="0"/>
        <v>11899.224000000002</v>
      </c>
      <c r="K4" s="11">
        <f>ROUND(J4*0.105,2)</f>
        <v>1249.42</v>
      </c>
      <c r="L4" s="9" t="s">
        <v>44</v>
      </c>
      <c r="M4" s="9">
        <v>1</v>
      </c>
    </row>
    <row r="5" spans="1:13" x14ac:dyDescent="0.3">
      <c r="A5" s="9" t="s">
        <v>48</v>
      </c>
      <c r="B5" s="10">
        <v>45707</v>
      </c>
      <c r="C5" s="9" t="s">
        <v>49</v>
      </c>
      <c r="D5" s="9" t="s">
        <v>50</v>
      </c>
      <c r="E5" s="9" t="s">
        <v>51</v>
      </c>
      <c r="F5" s="9" t="s">
        <v>52</v>
      </c>
      <c r="G5" s="9">
        <v>2</v>
      </c>
      <c r="H5" s="11">
        <v>2594.6</v>
      </c>
      <c r="I5" s="12">
        <v>0.1</v>
      </c>
      <c r="J5" s="11">
        <f t="shared" si="0"/>
        <v>4670.28</v>
      </c>
      <c r="K5" s="11">
        <f>ROUND(J5*0.101,2)</f>
        <v>471.7</v>
      </c>
      <c r="L5" s="9" t="s">
        <v>39</v>
      </c>
      <c r="M5" s="9">
        <v>4</v>
      </c>
    </row>
    <row r="6" spans="1:13" x14ac:dyDescent="0.3">
      <c r="A6" s="9" t="s">
        <v>53</v>
      </c>
      <c r="B6" s="10">
        <v>45808</v>
      </c>
      <c r="C6" s="9" t="s">
        <v>49</v>
      </c>
      <c r="D6" s="9" t="s">
        <v>54</v>
      </c>
      <c r="E6" s="9" t="s">
        <v>55</v>
      </c>
      <c r="F6" s="9" t="s">
        <v>56</v>
      </c>
      <c r="G6" s="9">
        <v>2</v>
      </c>
      <c r="H6" s="11">
        <v>2365.23</v>
      </c>
      <c r="I6" s="12">
        <v>0.2</v>
      </c>
      <c r="J6" s="11">
        <f t="shared" si="0"/>
        <v>3784.3680000000004</v>
      </c>
      <c r="K6" s="11">
        <f>ROUND(J6*0.311,2)</f>
        <v>1176.94</v>
      </c>
      <c r="L6" s="9" t="s">
        <v>44</v>
      </c>
      <c r="M6" s="9">
        <v>1</v>
      </c>
    </row>
    <row r="7" spans="1:13" x14ac:dyDescent="0.3">
      <c r="A7" s="9" t="s">
        <v>57</v>
      </c>
      <c r="B7" s="10">
        <v>45709</v>
      </c>
      <c r="C7" s="9" t="s">
        <v>58</v>
      </c>
      <c r="D7" s="9" t="s">
        <v>50</v>
      </c>
      <c r="E7" s="9" t="s">
        <v>59</v>
      </c>
      <c r="F7" s="9" t="s">
        <v>47</v>
      </c>
      <c r="G7" s="9">
        <v>6</v>
      </c>
      <c r="H7" s="11">
        <v>1390.11</v>
      </c>
      <c r="I7" s="12">
        <v>0</v>
      </c>
      <c r="J7" s="11">
        <f t="shared" si="0"/>
        <v>8340.66</v>
      </c>
      <c r="K7" s="11">
        <f>ROUND(J7*0.244,2)</f>
        <v>2035.12</v>
      </c>
      <c r="L7" s="9" t="s">
        <v>44</v>
      </c>
      <c r="M7" s="9">
        <v>1</v>
      </c>
    </row>
    <row r="8" spans="1:13" x14ac:dyDescent="0.3">
      <c r="A8" s="9" t="s">
        <v>60</v>
      </c>
      <c r="B8" s="10">
        <v>45745</v>
      </c>
      <c r="C8" s="9" t="s">
        <v>61</v>
      </c>
      <c r="D8" s="9" t="s">
        <v>41</v>
      </c>
      <c r="E8" s="9" t="s">
        <v>46</v>
      </c>
      <c r="F8" s="9" t="s">
        <v>62</v>
      </c>
      <c r="G8" s="9">
        <v>9</v>
      </c>
      <c r="H8" s="11">
        <v>8908.85</v>
      </c>
      <c r="I8" s="12">
        <v>0.15</v>
      </c>
      <c r="J8" s="11">
        <f t="shared" si="0"/>
        <v>68152.702499999999</v>
      </c>
      <c r="K8" s="11">
        <f>ROUND(J8*0.308,2)</f>
        <v>20991.03</v>
      </c>
      <c r="L8" s="9" t="s">
        <v>39</v>
      </c>
      <c r="M8" s="9">
        <v>3</v>
      </c>
    </row>
    <row r="9" spans="1:13" x14ac:dyDescent="0.3">
      <c r="A9" s="9" t="s">
        <v>63</v>
      </c>
      <c r="B9" s="10">
        <v>45686</v>
      </c>
      <c r="C9" s="9" t="s">
        <v>61</v>
      </c>
      <c r="D9" s="9" t="s">
        <v>36</v>
      </c>
      <c r="E9" s="9" t="s">
        <v>37</v>
      </c>
      <c r="F9" s="9" t="s">
        <v>62</v>
      </c>
      <c r="G9" s="9">
        <v>9</v>
      </c>
      <c r="H9" s="11">
        <v>3118.56</v>
      </c>
      <c r="I9" s="12">
        <v>0.1</v>
      </c>
      <c r="J9" s="11">
        <f t="shared" si="0"/>
        <v>25260.336000000003</v>
      </c>
      <c r="K9" s="11">
        <f>ROUND(J9*0.257,2)</f>
        <v>6491.91</v>
      </c>
      <c r="L9" s="9" t="s">
        <v>44</v>
      </c>
      <c r="M9" s="9">
        <v>2</v>
      </c>
    </row>
    <row r="10" spans="1:13" x14ac:dyDescent="0.3">
      <c r="A10" s="9" t="s">
        <v>64</v>
      </c>
      <c r="B10" s="10">
        <v>45860</v>
      </c>
      <c r="C10" s="9" t="s">
        <v>58</v>
      </c>
      <c r="D10" s="9" t="s">
        <v>41</v>
      </c>
      <c r="E10" s="9" t="s">
        <v>65</v>
      </c>
      <c r="F10" s="9" t="s">
        <v>66</v>
      </c>
      <c r="G10" s="9">
        <v>8</v>
      </c>
      <c r="H10" s="11">
        <v>6781.4</v>
      </c>
      <c r="I10" s="12">
        <v>0.1</v>
      </c>
      <c r="J10" s="11">
        <f t="shared" si="0"/>
        <v>48826.080000000002</v>
      </c>
      <c r="K10" s="11">
        <f>ROUND(J10*0.196,2)</f>
        <v>9569.91</v>
      </c>
      <c r="L10" s="9" t="s">
        <v>44</v>
      </c>
      <c r="M10" s="9">
        <v>5</v>
      </c>
    </row>
    <row r="11" spans="1:13" x14ac:dyDescent="0.3">
      <c r="A11" s="9" t="s">
        <v>67</v>
      </c>
      <c r="B11" s="10">
        <v>45956</v>
      </c>
      <c r="C11" s="9" t="s">
        <v>58</v>
      </c>
      <c r="D11" s="9" t="s">
        <v>50</v>
      </c>
      <c r="E11" s="9" t="s">
        <v>68</v>
      </c>
      <c r="F11" s="9" t="s">
        <v>66</v>
      </c>
      <c r="G11" s="9">
        <v>17</v>
      </c>
      <c r="H11" s="11">
        <v>1803.28</v>
      </c>
      <c r="I11" s="12">
        <v>0.2</v>
      </c>
      <c r="J11" s="11">
        <f t="shared" si="0"/>
        <v>24524.608</v>
      </c>
      <c r="K11" s="11">
        <f>ROUND(J11*0.121,2)</f>
        <v>2967.48</v>
      </c>
      <c r="L11" s="9" t="s">
        <v>39</v>
      </c>
      <c r="M11" s="9">
        <v>1</v>
      </c>
    </row>
    <row r="12" spans="1:13" x14ac:dyDescent="0.3">
      <c r="A12" s="9" t="s">
        <v>69</v>
      </c>
      <c r="B12" s="10">
        <v>45739</v>
      </c>
      <c r="C12" s="9" t="s">
        <v>58</v>
      </c>
      <c r="D12" s="9" t="s">
        <v>54</v>
      </c>
      <c r="E12" s="9" t="s">
        <v>70</v>
      </c>
      <c r="F12" s="9" t="s">
        <v>62</v>
      </c>
      <c r="G12" s="9">
        <v>13</v>
      </c>
      <c r="H12" s="11">
        <v>2146.23</v>
      </c>
      <c r="I12" s="12">
        <v>0.1</v>
      </c>
      <c r="J12" s="11">
        <f t="shared" si="0"/>
        <v>25110.891000000003</v>
      </c>
      <c r="K12" s="11">
        <f>ROUND(J12*0.312,2)</f>
        <v>7834.6</v>
      </c>
      <c r="L12" s="9" t="s">
        <v>44</v>
      </c>
      <c r="M12" s="9">
        <v>5</v>
      </c>
    </row>
    <row r="13" spans="1:13" x14ac:dyDescent="0.3">
      <c r="A13" s="9" t="s">
        <v>71</v>
      </c>
      <c r="B13" s="10">
        <v>45663</v>
      </c>
      <c r="C13" s="9" t="s">
        <v>35</v>
      </c>
      <c r="D13" s="9" t="s">
        <v>54</v>
      </c>
      <c r="E13" s="9" t="s">
        <v>72</v>
      </c>
      <c r="F13" s="9" t="s">
        <v>47</v>
      </c>
      <c r="G13" s="9">
        <v>4</v>
      </c>
      <c r="H13" s="11">
        <v>1133.23</v>
      </c>
      <c r="I13" s="12">
        <v>0</v>
      </c>
      <c r="J13" s="11">
        <f t="shared" si="0"/>
        <v>4532.92</v>
      </c>
      <c r="K13" s="11">
        <f>ROUND(J13*0.338,2)</f>
        <v>1532.13</v>
      </c>
      <c r="L13" s="9" t="s">
        <v>44</v>
      </c>
      <c r="M13" s="9">
        <v>1</v>
      </c>
    </row>
    <row r="14" spans="1:13" x14ac:dyDescent="0.3">
      <c r="A14" s="9" t="s">
        <v>73</v>
      </c>
      <c r="B14" s="10">
        <v>45792</v>
      </c>
      <c r="C14" s="9" t="s">
        <v>61</v>
      </c>
      <c r="D14" s="9" t="s">
        <v>54</v>
      </c>
      <c r="E14" s="9" t="s">
        <v>70</v>
      </c>
      <c r="F14" s="9" t="s">
        <v>52</v>
      </c>
      <c r="G14" s="9">
        <v>21</v>
      </c>
      <c r="H14" s="11">
        <v>1850.67</v>
      </c>
      <c r="I14" s="12">
        <v>0</v>
      </c>
      <c r="J14" s="11">
        <f t="shared" si="0"/>
        <v>38864.07</v>
      </c>
      <c r="K14" s="11">
        <f>ROUND(J14*0.286,2)</f>
        <v>11115.12</v>
      </c>
      <c r="L14" s="9" t="s">
        <v>39</v>
      </c>
      <c r="M14" s="9">
        <v>3</v>
      </c>
    </row>
    <row r="15" spans="1:13" x14ac:dyDescent="0.3">
      <c r="A15" s="9" t="s">
        <v>74</v>
      </c>
      <c r="B15" s="10">
        <v>45934</v>
      </c>
      <c r="C15" s="9" t="s">
        <v>35</v>
      </c>
      <c r="D15" s="9" t="s">
        <v>54</v>
      </c>
      <c r="E15" s="9" t="s">
        <v>72</v>
      </c>
      <c r="F15" s="9" t="s">
        <v>75</v>
      </c>
      <c r="G15" s="9">
        <v>1</v>
      </c>
      <c r="H15" s="11">
        <v>524.76</v>
      </c>
      <c r="I15" s="12">
        <v>0.05</v>
      </c>
      <c r="J15" s="11">
        <f t="shared" si="0"/>
        <v>498.52199999999999</v>
      </c>
      <c r="K15" s="11">
        <f>ROUND(J15*0.096,2)</f>
        <v>47.86</v>
      </c>
      <c r="L15" s="9" t="s">
        <v>44</v>
      </c>
      <c r="M15" s="9">
        <v>2</v>
      </c>
    </row>
    <row r="16" spans="1:13" x14ac:dyDescent="0.3">
      <c r="A16" s="9" t="s">
        <v>76</v>
      </c>
      <c r="B16" s="10">
        <v>45948</v>
      </c>
      <c r="C16" s="9" t="s">
        <v>35</v>
      </c>
      <c r="D16" s="9" t="s">
        <v>36</v>
      </c>
      <c r="E16" s="9" t="s">
        <v>77</v>
      </c>
      <c r="F16" s="9" t="s">
        <v>56</v>
      </c>
      <c r="G16" s="9">
        <v>25</v>
      </c>
      <c r="H16" s="11">
        <v>24041.87</v>
      </c>
      <c r="I16" s="12">
        <v>0</v>
      </c>
      <c r="J16" s="11">
        <f t="shared" si="0"/>
        <v>601046.75</v>
      </c>
      <c r="K16" s="11">
        <f>ROUND(J16*0.336,2)</f>
        <v>201951.71</v>
      </c>
      <c r="L16" s="9" t="s">
        <v>39</v>
      </c>
      <c r="M16" s="9">
        <v>4</v>
      </c>
    </row>
    <row r="17" spans="1:13" x14ac:dyDescent="0.3">
      <c r="A17" s="9" t="s">
        <v>78</v>
      </c>
      <c r="B17" s="10">
        <v>45742</v>
      </c>
      <c r="C17" s="9" t="s">
        <v>49</v>
      </c>
      <c r="D17" s="9" t="s">
        <v>54</v>
      </c>
      <c r="E17" s="9" t="s">
        <v>79</v>
      </c>
      <c r="F17" s="9" t="s">
        <v>62</v>
      </c>
      <c r="G17" s="9">
        <v>7</v>
      </c>
      <c r="H17" s="11">
        <v>3261.86</v>
      </c>
      <c r="I17" s="12">
        <v>0.2</v>
      </c>
      <c r="J17" s="11">
        <f t="shared" si="0"/>
        <v>18266.416000000001</v>
      </c>
      <c r="K17" s="11">
        <f>ROUND(J17*0.188,2)</f>
        <v>3434.09</v>
      </c>
      <c r="L17" s="9" t="s">
        <v>39</v>
      </c>
      <c r="M17" s="9">
        <v>3</v>
      </c>
    </row>
    <row r="18" spans="1:13" x14ac:dyDescent="0.3">
      <c r="A18" s="9" t="s">
        <v>80</v>
      </c>
      <c r="B18" s="10">
        <v>46001</v>
      </c>
      <c r="C18" s="9" t="s">
        <v>49</v>
      </c>
      <c r="D18" s="9" t="s">
        <v>81</v>
      </c>
      <c r="E18" s="9" t="s">
        <v>82</v>
      </c>
      <c r="F18" s="9" t="s">
        <v>75</v>
      </c>
      <c r="G18" s="9">
        <v>4</v>
      </c>
      <c r="H18" s="11">
        <v>980.48</v>
      </c>
      <c r="I18" s="12">
        <v>0</v>
      </c>
      <c r="J18" s="11">
        <f t="shared" si="0"/>
        <v>3921.92</v>
      </c>
      <c r="K18" s="11">
        <f>ROUND(J18*0.239,2)</f>
        <v>937.34</v>
      </c>
      <c r="L18" s="9" t="s">
        <v>44</v>
      </c>
      <c r="M18" s="9">
        <v>1</v>
      </c>
    </row>
    <row r="19" spans="1:13" x14ac:dyDescent="0.3">
      <c r="A19" s="9" t="s">
        <v>83</v>
      </c>
      <c r="B19" s="10">
        <v>45775</v>
      </c>
      <c r="C19" s="9" t="s">
        <v>61</v>
      </c>
      <c r="D19" s="9" t="s">
        <v>36</v>
      </c>
      <c r="E19" s="9" t="s">
        <v>84</v>
      </c>
      <c r="F19" s="9" t="s">
        <v>43</v>
      </c>
      <c r="G19" s="9">
        <v>8</v>
      </c>
      <c r="H19" s="11">
        <v>3172.9</v>
      </c>
      <c r="I19" s="12">
        <v>0</v>
      </c>
      <c r="J19" s="11">
        <f t="shared" si="0"/>
        <v>25383.200000000001</v>
      </c>
      <c r="K19" s="11">
        <f>ROUND(J19*0.219,2)</f>
        <v>5558.92</v>
      </c>
      <c r="L19" s="9" t="s">
        <v>44</v>
      </c>
      <c r="M19" s="9">
        <v>1</v>
      </c>
    </row>
    <row r="20" spans="1:13" x14ac:dyDescent="0.3">
      <c r="A20" s="9" t="s">
        <v>85</v>
      </c>
      <c r="B20" s="10">
        <v>45800</v>
      </c>
      <c r="C20" s="9" t="s">
        <v>58</v>
      </c>
      <c r="D20" s="9" t="s">
        <v>41</v>
      </c>
      <c r="E20" s="9" t="s">
        <v>86</v>
      </c>
      <c r="F20" s="9" t="s">
        <v>66</v>
      </c>
      <c r="G20" s="9">
        <v>24</v>
      </c>
      <c r="H20" s="11">
        <v>8438.9699999999993</v>
      </c>
      <c r="I20" s="12">
        <v>0.1</v>
      </c>
      <c r="J20" s="11">
        <f t="shared" si="0"/>
        <v>182281.75199999998</v>
      </c>
      <c r="K20" s="11">
        <f>ROUND(J20*0.292,2)</f>
        <v>53226.27</v>
      </c>
      <c r="L20" s="9" t="s">
        <v>44</v>
      </c>
      <c r="M20" s="9">
        <v>2</v>
      </c>
    </row>
    <row r="21" spans="1:13" x14ac:dyDescent="0.3">
      <c r="A21" s="9" t="s">
        <v>87</v>
      </c>
      <c r="B21" s="10">
        <v>45866</v>
      </c>
      <c r="C21" s="9" t="s">
        <v>61</v>
      </c>
      <c r="D21" s="9" t="s">
        <v>36</v>
      </c>
      <c r="E21" s="9" t="s">
        <v>84</v>
      </c>
      <c r="F21" s="9" t="s">
        <v>62</v>
      </c>
      <c r="G21" s="9">
        <v>12</v>
      </c>
      <c r="H21" s="11">
        <v>19147.5</v>
      </c>
      <c r="I21" s="12">
        <v>0.1</v>
      </c>
      <c r="J21" s="11">
        <f t="shared" si="0"/>
        <v>206793</v>
      </c>
      <c r="K21" s="11">
        <f>ROUND(J21*0.096,2)</f>
        <v>19852.13</v>
      </c>
      <c r="L21" s="9" t="s">
        <v>39</v>
      </c>
      <c r="M21" s="9">
        <v>1</v>
      </c>
    </row>
    <row r="22" spans="1:13" x14ac:dyDescent="0.3">
      <c r="A22" s="9" t="s">
        <v>88</v>
      </c>
      <c r="B22" s="10">
        <v>45831</v>
      </c>
      <c r="C22" s="9" t="s">
        <v>35</v>
      </c>
      <c r="D22" s="9" t="s">
        <v>41</v>
      </c>
      <c r="E22" s="9" t="s">
        <v>42</v>
      </c>
      <c r="F22" s="9" t="s">
        <v>38</v>
      </c>
      <c r="G22" s="9">
        <v>18</v>
      </c>
      <c r="H22" s="11">
        <v>4202.9399999999996</v>
      </c>
      <c r="I22" s="12">
        <v>0.1</v>
      </c>
      <c r="J22" s="11">
        <f t="shared" si="0"/>
        <v>68087.627999999997</v>
      </c>
      <c r="K22" s="11">
        <f>ROUND(J22*0.205,2)</f>
        <v>13957.96</v>
      </c>
      <c r="L22" s="9" t="s">
        <v>39</v>
      </c>
      <c r="M22" s="9">
        <v>3</v>
      </c>
    </row>
    <row r="23" spans="1:13" x14ac:dyDescent="0.3">
      <c r="A23" s="9" t="s">
        <v>89</v>
      </c>
      <c r="B23" s="10">
        <v>45696</v>
      </c>
      <c r="C23" s="9" t="s">
        <v>58</v>
      </c>
      <c r="D23" s="9" t="s">
        <v>54</v>
      </c>
      <c r="E23" s="9" t="s">
        <v>70</v>
      </c>
      <c r="F23" s="9" t="s">
        <v>43</v>
      </c>
      <c r="G23" s="9">
        <v>21</v>
      </c>
      <c r="H23" s="11">
        <v>3497.6</v>
      </c>
      <c r="I23" s="12">
        <v>0.2</v>
      </c>
      <c r="J23" s="11">
        <f t="shared" si="0"/>
        <v>58759.679999999993</v>
      </c>
      <c r="K23" s="11">
        <f>ROUND(J23*0.33,2)</f>
        <v>19390.689999999999</v>
      </c>
      <c r="L23" s="9" t="s">
        <v>39</v>
      </c>
      <c r="M23" s="9">
        <v>1</v>
      </c>
    </row>
    <row r="24" spans="1:13" x14ac:dyDescent="0.3">
      <c r="A24" s="9" t="s">
        <v>90</v>
      </c>
      <c r="B24" s="10">
        <v>45779</v>
      </c>
      <c r="C24" s="9" t="s">
        <v>61</v>
      </c>
      <c r="D24" s="9" t="s">
        <v>81</v>
      </c>
      <c r="E24" s="9" t="s">
        <v>91</v>
      </c>
      <c r="F24" s="9" t="s">
        <v>75</v>
      </c>
      <c r="G24" s="9">
        <v>7</v>
      </c>
      <c r="H24" s="11">
        <v>3046.58</v>
      </c>
      <c r="I24" s="12">
        <v>0</v>
      </c>
      <c r="J24" s="11">
        <f t="shared" si="0"/>
        <v>21326.059999999998</v>
      </c>
      <c r="K24" s="11">
        <f>ROUND(J24*0.081,2)</f>
        <v>1727.41</v>
      </c>
      <c r="L24" s="9" t="s">
        <v>39</v>
      </c>
      <c r="M24" s="9">
        <v>4</v>
      </c>
    </row>
    <row r="25" spans="1:13" x14ac:dyDescent="0.3">
      <c r="A25" s="9" t="s">
        <v>92</v>
      </c>
      <c r="B25" s="10">
        <v>45857</v>
      </c>
      <c r="C25" s="9" t="s">
        <v>49</v>
      </c>
      <c r="D25" s="9" t="s">
        <v>81</v>
      </c>
      <c r="E25" s="9" t="s">
        <v>93</v>
      </c>
      <c r="F25" s="9" t="s">
        <v>62</v>
      </c>
      <c r="G25" s="9">
        <v>23</v>
      </c>
      <c r="H25" s="11">
        <v>3357.01</v>
      </c>
      <c r="I25" s="12">
        <v>0.2</v>
      </c>
      <c r="J25" s="11">
        <f t="shared" si="0"/>
        <v>61768.984000000011</v>
      </c>
      <c r="K25" s="11">
        <f>ROUND(J25*0.131,2)</f>
        <v>8091.74</v>
      </c>
      <c r="L25" s="9" t="s">
        <v>44</v>
      </c>
      <c r="M25" s="9">
        <v>2</v>
      </c>
    </row>
    <row r="26" spans="1:13" x14ac:dyDescent="0.3">
      <c r="A26" s="9" t="s">
        <v>94</v>
      </c>
      <c r="B26" s="10">
        <v>45769</v>
      </c>
      <c r="C26" s="9" t="s">
        <v>35</v>
      </c>
      <c r="D26" s="9" t="s">
        <v>54</v>
      </c>
      <c r="E26" s="9" t="s">
        <v>79</v>
      </c>
      <c r="F26" s="9" t="s">
        <v>43</v>
      </c>
      <c r="G26" s="9">
        <v>24</v>
      </c>
      <c r="H26" s="11">
        <v>1200.58</v>
      </c>
      <c r="I26" s="12">
        <v>0</v>
      </c>
      <c r="J26" s="11">
        <f t="shared" si="0"/>
        <v>28813.919999999998</v>
      </c>
      <c r="K26" s="11">
        <f>ROUND(J26*0.328,2)</f>
        <v>9450.9699999999993</v>
      </c>
      <c r="L26" s="9" t="s">
        <v>44</v>
      </c>
      <c r="M26" s="9">
        <v>5</v>
      </c>
    </row>
    <row r="27" spans="1:13" x14ac:dyDescent="0.3">
      <c r="A27" s="9" t="s">
        <v>95</v>
      </c>
      <c r="B27" s="10">
        <v>45929</v>
      </c>
      <c r="C27" s="9" t="s">
        <v>61</v>
      </c>
      <c r="D27" s="9" t="s">
        <v>36</v>
      </c>
      <c r="E27" s="9" t="s">
        <v>96</v>
      </c>
      <c r="F27" s="9" t="s">
        <v>56</v>
      </c>
      <c r="G27" s="9">
        <v>6</v>
      </c>
      <c r="H27" s="11">
        <v>3223.18</v>
      </c>
      <c r="I27" s="12">
        <v>0</v>
      </c>
      <c r="J27" s="11">
        <f t="shared" si="0"/>
        <v>19339.079999999998</v>
      </c>
      <c r="K27" s="11">
        <f>ROUND(J27*0.112,2)</f>
        <v>2165.98</v>
      </c>
      <c r="L27" s="9" t="s">
        <v>39</v>
      </c>
      <c r="M27" s="9">
        <v>4</v>
      </c>
    </row>
    <row r="28" spans="1:13" x14ac:dyDescent="0.3">
      <c r="A28" s="9" t="s">
        <v>97</v>
      </c>
      <c r="B28" s="10">
        <v>45949</v>
      </c>
      <c r="C28" s="9" t="s">
        <v>61</v>
      </c>
      <c r="D28" s="9" t="s">
        <v>54</v>
      </c>
      <c r="E28" s="9" t="s">
        <v>79</v>
      </c>
      <c r="F28" s="9" t="s">
        <v>43</v>
      </c>
      <c r="G28" s="9">
        <v>20</v>
      </c>
      <c r="H28" s="11">
        <v>424.64</v>
      </c>
      <c r="I28" s="12">
        <v>0.15</v>
      </c>
      <c r="J28" s="11">
        <f t="shared" si="0"/>
        <v>7218.8799999999992</v>
      </c>
      <c r="K28" s="11">
        <f>ROUND(J28*0.135,2)</f>
        <v>974.55</v>
      </c>
      <c r="L28" s="9" t="s">
        <v>44</v>
      </c>
      <c r="M28" s="9">
        <v>3</v>
      </c>
    </row>
    <row r="29" spans="1:13" x14ac:dyDescent="0.3">
      <c r="A29" s="9" t="s">
        <v>98</v>
      </c>
      <c r="B29" s="10">
        <v>45818</v>
      </c>
      <c r="C29" s="9" t="s">
        <v>61</v>
      </c>
      <c r="D29" s="9" t="s">
        <v>50</v>
      </c>
      <c r="E29" s="9" t="s">
        <v>59</v>
      </c>
      <c r="F29" s="9" t="s">
        <v>66</v>
      </c>
      <c r="G29" s="9">
        <v>22</v>
      </c>
      <c r="H29" s="11">
        <v>2312.4299999999998</v>
      </c>
      <c r="I29" s="12">
        <v>0.1</v>
      </c>
      <c r="J29" s="11">
        <f t="shared" si="0"/>
        <v>45786.114000000001</v>
      </c>
      <c r="K29" s="11">
        <f>ROUND(J29*0.083,2)</f>
        <v>3800.25</v>
      </c>
      <c r="L29" s="9" t="s">
        <v>44</v>
      </c>
      <c r="M29" s="9">
        <v>1</v>
      </c>
    </row>
    <row r="30" spans="1:13" x14ac:dyDescent="0.3">
      <c r="A30" s="9" t="s">
        <v>99</v>
      </c>
      <c r="B30" s="10">
        <v>45976</v>
      </c>
      <c r="C30" s="9" t="s">
        <v>35</v>
      </c>
      <c r="D30" s="9" t="s">
        <v>36</v>
      </c>
      <c r="E30" s="9" t="s">
        <v>96</v>
      </c>
      <c r="F30" s="9" t="s">
        <v>38</v>
      </c>
      <c r="G30" s="9">
        <v>17</v>
      </c>
      <c r="H30" s="11">
        <v>12044.24</v>
      </c>
      <c r="I30" s="12">
        <v>0.05</v>
      </c>
      <c r="J30" s="11">
        <f t="shared" si="0"/>
        <v>194514.47599999997</v>
      </c>
      <c r="K30" s="11">
        <f>ROUND(J30*0.18,2)</f>
        <v>35012.61</v>
      </c>
      <c r="L30" s="9" t="s">
        <v>39</v>
      </c>
      <c r="M30" s="9">
        <v>2</v>
      </c>
    </row>
    <row r="31" spans="1:13" x14ac:dyDescent="0.3">
      <c r="A31" s="9" t="s">
        <v>100</v>
      </c>
      <c r="B31" s="10">
        <v>45738</v>
      </c>
      <c r="C31" s="9" t="s">
        <v>58</v>
      </c>
      <c r="D31" s="9" t="s">
        <v>54</v>
      </c>
      <c r="E31" s="9" t="s">
        <v>72</v>
      </c>
      <c r="F31" s="9" t="s">
        <v>43</v>
      </c>
      <c r="G31" s="9">
        <v>22</v>
      </c>
      <c r="H31" s="11">
        <v>2887.3</v>
      </c>
      <c r="I31" s="12">
        <v>0.05</v>
      </c>
      <c r="J31" s="11">
        <f t="shared" si="0"/>
        <v>60344.57</v>
      </c>
      <c r="K31" s="11">
        <f>ROUND(J31*0.151,2)</f>
        <v>9112.0300000000007</v>
      </c>
      <c r="L31" s="9" t="s">
        <v>39</v>
      </c>
      <c r="M31" s="9">
        <v>2</v>
      </c>
    </row>
    <row r="32" spans="1:13" x14ac:dyDescent="0.3">
      <c r="A32" s="9" t="s">
        <v>101</v>
      </c>
      <c r="B32" s="10">
        <v>45712</v>
      </c>
      <c r="C32" s="9" t="s">
        <v>61</v>
      </c>
      <c r="D32" s="9" t="s">
        <v>50</v>
      </c>
      <c r="E32" s="9" t="s">
        <v>102</v>
      </c>
      <c r="F32" s="9" t="s">
        <v>38</v>
      </c>
      <c r="G32" s="9">
        <v>23</v>
      </c>
      <c r="H32" s="11">
        <v>1298.6500000000001</v>
      </c>
      <c r="I32" s="12">
        <v>0.15</v>
      </c>
      <c r="J32" s="11">
        <f t="shared" si="0"/>
        <v>25388.607499999998</v>
      </c>
      <c r="K32" s="11">
        <f>ROUND(J32*0.212,2)</f>
        <v>5382.38</v>
      </c>
      <c r="L32" s="9" t="s">
        <v>44</v>
      </c>
      <c r="M32" s="9">
        <v>5</v>
      </c>
    </row>
    <row r="33" spans="1:13" x14ac:dyDescent="0.3">
      <c r="A33" s="9" t="s">
        <v>103</v>
      </c>
      <c r="B33" s="10">
        <v>45684</v>
      </c>
      <c r="C33" s="9" t="s">
        <v>35</v>
      </c>
      <c r="D33" s="9" t="s">
        <v>81</v>
      </c>
      <c r="E33" s="9" t="s">
        <v>93</v>
      </c>
      <c r="F33" s="9" t="s">
        <v>43</v>
      </c>
      <c r="G33" s="9">
        <v>1</v>
      </c>
      <c r="H33" s="11">
        <v>1267.4100000000001</v>
      </c>
      <c r="I33" s="12">
        <v>0</v>
      </c>
      <c r="J33" s="11">
        <f t="shared" si="0"/>
        <v>1267.4100000000001</v>
      </c>
      <c r="K33" s="11">
        <f>ROUND(J33*0.28,2)</f>
        <v>354.87</v>
      </c>
      <c r="L33" s="9" t="s">
        <v>44</v>
      </c>
      <c r="M33" s="9">
        <v>2</v>
      </c>
    </row>
    <row r="34" spans="1:13" x14ac:dyDescent="0.3">
      <c r="A34" s="9" t="s">
        <v>104</v>
      </c>
      <c r="B34" s="10">
        <v>45940</v>
      </c>
      <c r="C34" s="9" t="s">
        <v>58</v>
      </c>
      <c r="D34" s="9" t="s">
        <v>54</v>
      </c>
      <c r="E34" s="9" t="s">
        <v>70</v>
      </c>
      <c r="F34" s="9" t="s">
        <v>56</v>
      </c>
      <c r="G34" s="9">
        <v>3</v>
      </c>
      <c r="H34" s="11">
        <v>3315.92</v>
      </c>
      <c r="I34" s="12">
        <v>0.15</v>
      </c>
      <c r="J34" s="11">
        <f t="shared" ref="J34:J65" si="1">G34*H34*(1-I34)</f>
        <v>8455.5959999999995</v>
      </c>
      <c r="K34" s="11">
        <f>ROUND(J34*0.09,2)</f>
        <v>761</v>
      </c>
      <c r="L34" s="9" t="s">
        <v>39</v>
      </c>
      <c r="M34" s="9">
        <v>5</v>
      </c>
    </row>
    <row r="35" spans="1:13" x14ac:dyDescent="0.3">
      <c r="A35" s="9" t="s">
        <v>105</v>
      </c>
      <c r="B35" s="10">
        <v>45847</v>
      </c>
      <c r="C35" s="9" t="s">
        <v>61</v>
      </c>
      <c r="D35" s="9" t="s">
        <v>81</v>
      </c>
      <c r="E35" s="9" t="s">
        <v>106</v>
      </c>
      <c r="F35" s="9" t="s">
        <v>43</v>
      </c>
      <c r="G35" s="9">
        <v>10</v>
      </c>
      <c r="H35" s="11">
        <v>1371.58</v>
      </c>
      <c r="I35" s="12">
        <v>0.2</v>
      </c>
      <c r="J35" s="11">
        <f t="shared" si="1"/>
        <v>10972.64</v>
      </c>
      <c r="K35" s="11">
        <f>ROUND(J35*0.137,2)</f>
        <v>1503.25</v>
      </c>
      <c r="L35" s="9" t="s">
        <v>39</v>
      </c>
      <c r="M35" s="9">
        <v>3</v>
      </c>
    </row>
    <row r="36" spans="1:13" x14ac:dyDescent="0.3">
      <c r="A36" s="9" t="s">
        <v>107</v>
      </c>
      <c r="B36" s="10">
        <v>45785</v>
      </c>
      <c r="C36" s="9" t="s">
        <v>35</v>
      </c>
      <c r="D36" s="9" t="s">
        <v>50</v>
      </c>
      <c r="E36" s="9" t="s">
        <v>51</v>
      </c>
      <c r="F36" s="9" t="s">
        <v>62</v>
      </c>
      <c r="G36" s="9">
        <v>20</v>
      </c>
      <c r="H36" s="11">
        <v>2660.75</v>
      </c>
      <c r="I36" s="12">
        <v>0</v>
      </c>
      <c r="J36" s="11">
        <f t="shared" si="1"/>
        <v>53215</v>
      </c>
      <c r="K36" s="11">
        <f>ROUND(J36*0.318,2)</f>
        <v>16922.37</v>
      </c>
      <c r="L36" s="9" t="s">
        <v>39</v>
      </c>
      <c r="M36" s="9">
        <v>2</v>
      </c>
    </row>
    <row r="37" spans="1:13" x14ac:dyDescent="0.3">
      <c r="A37" s="9" t="s">
        <v>108</v>
      </c>
      <c r="B37" s="10">
        <v>45670</v>
      </c>
      <c r="C37" s="9" t="s">
        <v>61</v>
      </c>
      <c r="D37" s="9" t="s">
        <v>50</v>
      </c>
      <c r="E37" s="9" t="s">
        <v>59</v>
      </c>
      <c r="F37" s="9" t="s">
        <v>38</v>
      </c>
      <c r="G37" s="9">
        <v>9</v>
      </c>
      <c r="H37" s="11">
        <v>683.31</v>
      </c>
      <c r="I37" s="12">
        <v>0.15</v>
      </c>
      <c r="J37" s="11">
        <f t="shared" si="1"/>
        <v>5227.3214999999991</v>
      </c>
      <c r="K37" s="11">
        <f>ROUND(J37*0.315,2)</f>
        <v>1646.61</v>
      </c>
      <c r="L37" s="9" t="s">
        <v>39</v>
      </c>
      <c r="M37" s="9">
        <v>4</v>
      </c>
    </row>
    <row r="38" spans="1:13" x14ac:dyDescent="0.3">
      <c r="A38" s="9" t="s">
        <v>109</v>
      </c>
      <c r="B38" s="10">
        <v>45898</v>
      </c>
      <c r="C38" s="9" t="s">
        <v>61</v>
      </c>
      <c r="D38" s="9" t="s">
        <v>41</v>
      </c>
      <c r="E38" s="9" t="s">
        <v>46</v>
      </c>
      <c r="F38" s="9" t="s">
        <v>47</v>
      </c>
      <c r="G38" s="9">
        <v>10</v>
      </c>
      <c r="H38" s="11">
        <v>7438.67</v>
      </c>
      <c r="I38" s="12">
        <v>0.2</v>
      </c>
      <c r="J38" s="11">
        <f t="shared" si="1"/>
        <v>59509.36</v>
      </c>
      <c r="K38" s="11">
        <f>ROUND(J38*0.086,2)</f>
        <v>5117.8</v>
      </c>
      <c r="L38" s="9" t="s">
        <v>39</v>
      </c>
      <c r="M38" s="9">
        <v>2</v>
      </c>
    </row>
    <row r="39" spans="1:13" x14ac:dyDescent="0.3">
      <c r="A39" s="9" t="s">
        <v>110</v>
      </c>
      <c r="B39" s="10">
        <v>45756</v>
      </c>
      <c r="C39" s="9" t="s">
        <v>58</v>
      </c>
      <c r="D39" s="9" t="s">
        <v>50</v>
      </c>
      <c r="E39" s="9" t="s">
        <v>102</v>
      </c>
      <c r="F39" s="9" t="s">
        <v>56</v>
      </c>
      <c r="G39" s="9">
        <v>25</v>
      </c>
      <c r="H39" s="11">
        <v>1085.07</v>
      </c>
      <c r="I39" s="12">
        <v>0.15</v>
      </c>
      <c r="J39" s="11">
        <f t="shared" si="1"/>
        <v>23057.737499999999</v>
      </c>
      <c r="K39" s="11">
        <f>ROUND(J39*0.169,2)</f>
        <v>3896.76</v>
      </c>
      <c r="L39" s="9" t="s">
        <v>44</v>
      </c>
      <c r="M39" s="9">
        <v>5</v>
      </c>
    </row>
    <row r="40" spans="1:13" x14ac:dyDescent="0.3">
      <c r="A40" s="9" t="s">
        <v>111</v>
      </c>
      <c r="B40" s="10">
        <v>45672</v>
      </c>
      <c r="C40" s="9" t="s">
        <v>35</v>
      </c>
      <c r="D40" s="9" t="s">
        <v>50</v>
      </c>
      <c r="E40" s="9" t="s">
        <v>68</v>
      </c>
      <c r="F40" s="9" t="s">
        <v>52</v>
      </c>
      <c r="G40" s="9">
        <v>2</v>
      </c>
      <c r="H40" s="11">
        <v>513.15</v>
      </c>
      <c r="I40" s="12">
        <v>0.1</v>
      </c>
      <c r="J40" s="11">
        <f t="shared" si="1"/>
        <v>923.67</v>
      </c>
      <c r="K40" s="11">
        <f>ROUND(J40*0.198,2)</f>
        <v>182.89</v>
      </c>
      <c r="L40" s="9" t="s">
        <v>44</v>
      </c>
      <c r="M40" s="9">
        <v>3</v>
      </c>
    </row>
    <row r="41" spans="1:13" x14ac:dyDescent="0.3">
      <c r="A41" s="9" t="s">
        <v>112</v>
      </c>
      <c r="B41" s="10">
        <v>45919</v>
      </c>
      <c r="C41" s="9" t="s">
        <v>35</v>
      </c>
      <c r="D41" s="9" t="s">
        <v>81</v>
      </c>
      <c r="E41" s="9" t="s">
        <v>82</v>
      </c>
      <c r="F41" s="9" t="s">
        <v>38</v>
      </c>
      <c r="G41" s="9">
        <v>9</v>
      </c>
      <c r="H41" s="11">
        <v>298.69</v>
      </c>
      <c r="I41" s="12">
        <v>0.1</v>
      </c>
      <c r="J41" s="11">
        <f t="shared" si="1"/>
        <v>2419.3890000000001</v>
      </c>
      <c r="K41" s="11">
        <f>ROUND(J41*0.33,2)</f>
        <v>798.4</v>
      </c>
      <c r="L41" s="9" t="s">
        <v>39</v>
      </c>
      <c r="M41" s="9">
        <v>5</v>
      </c>
    </row>
    <row r="42" spans="1:13" x14ac:dyDescent="0.3">
      <c r="A42" s="9" t="s">
        <v>113</v>
      </c>
      <c r="B42" s="10">
        <v>45933</v>
      </c>
      <c r="C42" s="9" t="s">
        <v>61</v>
      </c>
      <c r="D42" s="9" t="s">
        <v>50</v>
      </c>
      <c r="E42" s="9" t="s">
        <v>59</v>
      </c>
      <c r="F42" s="9" t="s">
        <v>56</v>
      </c>
      <c r="G42" s="9">
        <v>22</v>
      </c>
      <c r="H42" s="11">
        <v>3234.58</v>
      </c>
      <c r="I42" s="12">
        <v>0.1</v>
      </c>
      <c r="J42" s="11">
        <f t="shared" si="1"/>
        <v>64044.683999999994</v>
      </c>
      <c r="K42" s="11">
        <f>ROUND(J42*0.274,2)</f>
        <v>17548.240000000002</v>
      </c>
      <c r="L42" s="9" t="s">
        <v>44</v>
      </c>
      <c r="M42" s="9">
        <v>1</v>
      </c>
    </row>
    <row r="43" spans="1:13" x14ac:dyDescent="0.3">
      <c r="A43" s="9" t="s">
        <v>114</v>
      </c>
      <c r="B43" s="10">
        <v>45811</v>
      </c>
      <c r="C43" s="9" t="s">
        <v>49</v>
      </c>
      <c r="D43" s="9" t="s">
        <v>81</v>
      </c>
      <c r="E43" s="9" t="s">
        <v>93</v>
      </c>
      <c r="F43" s="9" t="s">
        <v>62</v>
      </c>
      <c r="G43" s="9">
        <v>23</v>
      </c>
      <c r="H43" s="11">
        <v>1140.44</v>
      </c>
      <c r="I43" s="12">
        <v>0</v>
      </c>
      <c r="J43" s="11">
        <f t="shared" si="1"/>
        <v>26230.120000000003</v>
      </c>
      <c r="K43" s="11">
        <f>ROUND(J43*0.26,2)</f>
        <v>6819.83</v>
      </c>
      <c r="L43" s="9" t="s">
        <v>39</v>
      </c>
      <c r="M43" s="9">
        <v>4</v>
      </c>
    </row>
    <row r="44" spans="1:13" x14ac:dyDescent="0.3">
      <c r="A44" s="9" t="s">
        <v>115</v>
      </c>
      <c r="B44" s="10">
        <v>45852</v>
      </c>
      <c r="C44" s="9" t="s">
        <v>61</v>
      </c>
      <c r="D44" s="9" t="s">
        <v>54</v>
      </c>
      <c r="E44" s="9" t="s">
        <v>79</v>
      </c>
      <c r="F44" s="9" t="s">
        <v>52</v>
      </c>
      <c r="G44" s="9">
        <v>13</v>
      </c>
      <c r="H44" s="11">
        <v>1985.59</v>
      </c>
      <c r="I44" s="12">
        <v>0</v>
      </c>
      <c r="J44" s="11">
        <f t="shared" si="1"/>
        <v>25812.67</v>
      </c>
      <c r="K44" s="11">
        <f>ROUND(J44*0.137,2)</f>
        <v>3536.34</v>
      </c>
      <c r="L44" s="9" t="s">
        <v>44</v>
      </c>
      <c r="M44" s="9">
        <v>3</v>
      </c>
    </row>
    <row r="45" spans="1:13" x14ac:dyDescent="0.3">
      <c r="A45" s="9" t="s">
        <v>116</v>
      </c>
      <c r="B45" s="10">
        <v>45954</v>
      </c>
      <c r="C45" s="9" t="s">
        <v>49</v>
      </c>
      <c r="D45" s="9" t="s">
        <v>81</v>
      </c>
      <c r="E45" s="9" t="s">
        <v>91</v>
      </c>
      <c r="F45" s="9" t="s">
        <v>75</v>
      </c>
      <c r="G45" s="9">
        <v>22</v>
      </c>
      <c r="H45" s="11">
        <v>865.9</v>
      </c>
      <c r="I45" s="12">
        <v>0.1</v>
      </c>
      <c r="J45" s="11">
        <f t="shared" si="1"/>
        <v>17144.82</v>
      </c>
      <c r="K45" s="11">
        <f>ROUND(J45*0.157,2)</f>
        <v>2691.74</v>
      </c>
      <c r="L45" s="9" t="s">
        <v>39</v>
      </c>
      <c r="M45" s="9">
        <v>1</v>
      </c>
    </row>
    <row r="46" spans="1:13" x14ac:dyDescent="0.3">
      <c r="A46" s="9" t="s">
        <v>117</v>
      </c>
      <c r="B46" s="10">
        <v>45997</v>
      </c>
      <c r="C46" s="9" t="s">
        <v>49</v>
      </c>
      <c r="D46" s="9" t="s">
        <v>36</v>
      </c>
      <c r="E46" s="9" t="s">
        <v>118</v>
      </c>
      <c r="F46" s="9" t="s">
        <v>52</v>
      </c>
      <c r="G46" s="9">
        <v>8</v>
      </c>
      <c r="H46" s="11">
        <v>36324.35</v>
      </c>
      <c r="I46" s="12">
        <v>0</v>
      </c>
      <c r="J46" s="11">
        <f t="shared" si="1"/>
        <v>290594.8</v>
      </c>
      <c r="K46" s="11">
        <f>ROUND(J46*0.146,2)</f>
        <v>42426.84</v>
      </c>
      <c r="L46" s="9" t="s">
        <v>39</v>
      </c>
      <c r="M46" s="9">
        <v>1</v>
      </c>
    </row>
    <row r="47" spans="1:13" x14ac:dyDescent="0.3">
      <c r="A47" s="9" t="s">
        <v>119</v>
      </c>
      <c r="B47" s="10">
        <v>45901</v>
      </c>
      <c r="C47" s="9" t="s">
        <v>35</v>
      </c>
      <c r="D47" s="9" t="s">
        <v>81</v>
      </c>
      <c r="E47" s="9" t="s">
        <v>91</v>
      </c>
      <c r="F47" s="9" t="s">
        <v>38</v>
      </c>
      <c r="G47" s="9">
        <v>23</v>
      </c>
      <c r="H47" s="11">
        <v>2482.79</v>
      </c>
      <c r="I47" s="12">
        <v>0.1</v>
      </c>
      <c r="J47" s="11">
        <f t="shared" si="1"/>
        <v>51393.752999999997</v>
      </c>
      <c r="K47" s="11">
        <f>ROUND(J47*0.12,2)</f>
        <v>6167.25</v>
      </c>
      <c r="L47" s="9" t="s">
        <v>44</v>
      </c>
      <c r="M47" s="9">
        <v>2</v>
      </c>
    </row>
    <row r="48" spans="1:13" x14ac:dyDescent="0.3">
      <c r="A48" s="9" t="s">
        <v>120</v>
      </c>
      <c r="B48" s="10">
        <v>46010</v>
      </c>
      <c r="C48" s="9" t="s">
        <v>35</v>
      </c>
      <c r="D48" s="9" t="s">
        <v>36</v>
      </c>
      <c r="E48" s="9" t="s">
        <v>77</v>
      </c>
      <c r="F48" s="9" t="s">
        <v>38</v>
      </c>
      <c r="G48" s="9">
        <v>6</v>
      </c>
      <c r="H48" s="11">
        <v>36214.33</v>
      </c>
      <c r="I48" s="12">
        <v>0.15</v>
      </c>
      <c r="J48" s="11">
        <f t="shared" si="1"/>
        <v>184693.08300000001</v>
      </c>
      <c r="K48" s="11">
        <f>ROUND(J48*0.23,2)</f>
        <v>42479.41</v>
      </c>
      <c r="L48" s="9" t="s">
        <v>44</v>
      </c>
      <c r="M48" s="9">
        <v>1</v>
      </c>
    </row>
    <row r="49" spans="1:13" x14ac:dyDescent="0.3">
      <c r="A49" s="9" t="s">
        <v>121</v>
      </c>
      <c r="B49" s="10">
        <v>45720</v>
      </c>
      <c r="C49" s="9" t="s">
        <v>58</v>
      </c>
      <c r="D49" s="9" t="s">
        <v>41</v>
      </c>
      <c r="E49" s="9" t="s">
        <v>46</v>
      </c>
      <c r="F49" s="9" t="s">
        <v>47</v>
      </c>
      <c r="G49" s="9">
        <v>25</v>
      </c>
      <c r="H49" s="11">
        <v>8055.41</v>
      </c>
      <c r="I49" s="12">
        <v>0.1</v>
      </c>
      <c r="J49" s="11">
        <f t="shared" si="1"/>
        <v>181246.72500000001</v>
      </c>
      <c r="K49" s="11">
        <f>ROUND(J49*0.2,2)</f>
        <v>36249.35</v>
      </c>
      <c r="L49" s="9" t="s">
        <v>44</v>
      </c>
      <c r="M49" s="9">
        <v>5</v>
      </c>
    </row>
    <row r="50" spans="1:13" x14ac:dyDescent="0.3">
      <c r="A50" s="9" t="s">
        <v>122</v>
      </c>
      <c r="B50" s="10">
        <v>45739</v>
      </c>
      <c r="C50" s="9" t="s">
        <v>58</v>
      </c>
      <c r="D50" s="9" t="s">
        <v>81</v>
      </c>
      <c r="E50" s="9" t="s">
        <v>93</v>
      </c>
      <c r="F50" s="9" t="s">
        <v>38</v>
      </c>
      <c r="G50" s="9">
        <v>21</v>
      </c>
      <c r="H50" s="11">
        <v>1078.99</v>
      </c>
      <c r="I50" s="12">
        <v>0.2</v>
      </c>
      <c r="J50" s="11">
        <f t="shared" si="1"/>
        <v>18127.032000000003</v>
      </c>
      <c r="K50" s="11">
        <f>ROUND(J50*0.154,2)</f>
        <v>2791.56</v>
      </c>
      <c r="L50" s="9" t="s">
        <v>44</v>
      </c>
      <c r="M50" s="9">
        <v>2</v>
      </c>
    </row>
    <row r="51" spans="1:13" x14ac:dyDescent="0.3">
      <c r="A51" s="9" t="s">
        <v>123</v>
      </c>
      <c r="B51" s="10">
        <v>45697</v>
      </c>
      <c r="C51" s="9" t="s">
        <v>49</v>
      </c>
      <c r="D51" s="9" t="s">
        <v>41</v>
      </c>
      <c r="E51" s="9" t="s">
        <v>65</v>
      </c>
      <c r="F51" s="9" t="s">
        <v>47</v>
      </c>
      <c r="G51" s="9">
        <v>11</v>
      </c>
      <c r="H51" s="11">
        <v>8069.33</v>
      </c>
      <c r="I51" s="12">
        <v>0</v>
      </c>
      <c r="J51" s="11">
        <f t="shared" si="1"/>
        <v>88762.63</v>
      </c>
      <c r="K51" s="11">
        <f>ROUND(J51*0.142,2)</f>
        <v>12604.29</v>
      </c>
      <c r="L51" s="9" t="s">
        <v>39</v>
      </c>
      <c r="M51" s="9">
        <v>2</v>
      </c>
    </row>
    <row r="52" spans="1:13" x14ac:dyDescent="0.3">
      <c r="A52" s="9" t="s">
        <v>124</v>
      </c>
      <c r="B52" s="10">
        <v>46013</v>
      </c>
      <c r="C52" s="9" t="s">
        <v>61</v>
      </c>
      <c r="D52" s="9" t="s">
        <v>41</v>
      </c>
      <c r="E52" s="9" t="s">
        <v>125</v>
      </c>
      <c r="F52" s="9" t="s">
        <v>62</v>
      </c>
      <c r="G52" s="9">
        <v>14</v>
      </c>
      <c r="H52" s="11">
        <v>3178.67</v>
      </c>
      <c r="I52" s="12">
        <v>0.1</v>
      </c>
      <c r="J52" s="11">
        <f t="shared" si="1"/>
        <v>40051.242000000006</v>
      </c>
      <c r="K52" s="11">
        <f>ROUND(J52*0.136,2)</f>
        <v>5446.97</v>
      </c>
      <c r="L52" s="9" t="s">
        <v>44</v>
      </c>
      <c r="M52" s="9">
        <v>1</v>
      </c>
    </row>
    <row r="53" spans="1:13" x14ac:dyDescent="0.3">
      <c r="A53" s="9" t="s">
        <v>126</v>
      </c>
      <c r="B53" s="10">
        <v>45873</v>
      </c>
      <c r="C53" s="9" t="s">
        <v>58</v>
      </c>
      <c r="D53" s="9" t="s">
        <v>54</v>
      </c>
      <c r="E53" s="9" t="s">
        <v>70</v>
      </c>
      <c r="F53" s="9" t="s">
        <v>62</v>
      </c>
      <c r="G53" s="9">
        <v>16</v>
      </c>
      <c r="H53" s="11">
        <v>169.75</v>
      </c>
      <c r="I53" s="12">
        <v>0.05</v>
      </c>
      <c r="J53" s="11">
        <f t="shared" si="1"/>
        <v>2580.1999999999998</v>
      </c>
      <c r="K53" s="11">
        <f>ROUND(J53*0.31,2)</f>
        <v>799.86</v>
      </c>
      <c r="L53" s="9" t="s">
        <v>44</v>
      </c>
      <c r="M53" s="9">
        <v>4</v>
      </c>
    </row>
    <row r="54" spans="1:13" x14ac:dyDescent="0.3">
      <c r="A54" s="9" t="s">
        <v>127</v>
      </c>
      <c r="B54" s="10">
        <v>45872</v>
      </c>
      <c r="C54" s="9" t="s">
        <v>61</v>
      </c>
      <c r="D54" s="9" t="s">
        <v>81</v>
      </c>
      <c r="E54" s="9" t="s">
        <v>106</v>
      </c>
      <c r="F54" s="9" t="s">
        <v>52</v>
      </c>
      <c r="G54" s="9">
        <v>14</v>
      </c>
      <c r="H54" s="11">
        <v>1776.9</v>
      </c>
      <c r="I54" s="12">
        <v>0.1</v>
      </c>
      <c r="J54" s="11">
        <f t="shared" si="1"/>
        <v>22388.940000000002</v>
      </c>
      <c r="K54" s="11">
        <f>ROUND(J54*0.276,2)</f>
        <v>6179.35</v>
      </c>
      <c r="L54" s="9" t="s">
        <v>44</v>
      </c>
      <c r="M54" s="9">
        <v>4</v>
      </c>
    </row>
    <row r="55" spans="1:13" x14ac:dyDescent="0.3">
      <c r="A55" s="9" t="s">
        <v>128</v>
      </c>
      <c r="B55" s="10">
        <v>45897</v>
      </c>
      <c r="C55" s="9" t="s">
        <v>61</v>
      </c>
      <c r="D55" s="9" t="s">
        <v>54</v>
      </c>
      <c r="E55" s="9" t="s">
        <v>79</v>
      </c>
      <c r="F55" s="9" t="s">
        <v>43</v>
      </c>
      <c r="G55" s="9">
        <v>13</v>
      </c>
      <c r="H55" s="11">
        <v>2132.84</v>
      </c>
      <c r="I55" s="12">
        <v>0.15</v>
      </c>
      <c r="J55" s="11">
        <f t="shared" si="1"/>
        <v>23567.882000000001</v>
      </c>
      <c r="K55" s="11">
        <f>ROUND(J55*0.254,2)</f>
        <v>5986.24</v>
      </c>
      <c r="L55" s="9" t="s">
        <v>39</v>
      </c>
      <c r="M55" s="9">
        <v>1</v>
      </c>
    </row>
    <row r="56" spans="1:13" x14ac:dyDescent="0.3">
      <c r="A56" s="9" t="s">
        <v>129</v>
      </c>
      <c r="B56" s="10">
        <v>45727</v>
      </c>
      <c r="C56" s="9" t="s">
        <v>58</v>
      </c>
      <c r="D56" s="9" t="s">
        <v>41</v>
      </c>
      <c r="E56" s="9" t="s">
        <v>125</v>
      </c>
      <c r="F56" s="9" t="s">
        <v>52</v>
      </c>
      <c r="G56" s="9">
        <v>13</v>
      </c>
      <c r="H56" s="11">
        <v>3147.97</v>
      </c>
      <c r="I56" s="12">
        <v>0.1</v>
      </c>
      <c r="J56" s="11">
        <f t="shared" si="1"/>
        <v>36831.249000000003</v>
      </c>
      <c r="K56" s="11">
        <f>ROUND(J56*0.286,2)</f>
        <v>10533.74</v>
      </c>
      <c r="L56" s="9" t="s">
        <v>44</v>
      </c>
      <c r="M56" s="9">
        <v>3</v>
      </c>
    </row>
    <row r="57" spans="1:13" x14ac:dyDescent="0.3">
      <c r="A57" s="9" t="s">
        <v>130</v>
      </c>
      <c r="B57" s="10">
        <v>45852</v>
      </c>
      <c r="C57" s="9" t="s">
        <v>49</v>
      </c>
      <c r="D57" s="9" t="s">
        <v>81</v>
      </c>
      <c r="E57" s="9" t="s">
        <v>93</v>
      </c>
      <c r="F57" s="9" t="s">
        <v>56</v>
      </c>
      <c r="G57" s="9">
        <v>16</v>
      </c>
      <c r="H57" s="11">
        <v>214.93</v>
      </c>
      <c r="I57" s="12">
        <v>0.1</v>
      </c>
      <c r="J57" s="11">
        <f t="shared" si="1"/>
        <v>3094.9920000000002</v>
      </c>
      <c r="K57" s="11">
        <f>ROUND(J57*0.141,2)</f>
        <v>436.39</v>
      </c>
      <c r="L57" s="9" t="s">
        <v>39</v>
      </c>
      <c r="M57" s="9">
        <v>3</v>
      </c>
    </row>
    <row r="58" spans="1:13" x14ac:dyDescent="0.3">
      <c r="A58" s="9" t="s">
        <v>131</v>
      </c>
      <c r="B58" s="10">
        <v>45693</v>
      </c>
      <c r="C58" s="9" t="s">
        <v>35</v>
      </c>
      <c r="D58" s="9" t="s">
        <v>36</v>
      </c>
      <c r="E58" s="9" t="s">
        <v>118</v>
      </c>
      <c r="F58" s="9" t="s">
        <v>38</v>
      </c>
      <c r="G58" s="9">
        <v>1</v>
      </c>
      <c r="H58" s="11">
        <v>28016.9</v>
      </c>
      <c r="I58" s="12">
        <v>0</v>
      </c>
      <c r="J58" s="11">
        <f t="shared" si="1"/>
        <v>28016.9</v>
      </c>
      <c r="K58" s="11">
        <f>ROUND(J58*0.261,2)</f>
        <v>7312.41</v>
      </c>
      <c r="L58" s="9" t="s">
        <v>39</v>
      </c>
      <c r="M58" s="9">
        <v>4</v>
      </c>
    </row>
    <row r="59" spans="1:13" x14ac:dyDescent="0.3">
      <c r="A59" s="9" t="s">
        <v>132</v>
      </c>
      <c r="B59" s="10">
        <v>45946</v>
      </c>
      <c r="C59" s="9" t="s">
        <v>61</v>
      </c>
      <c r="D59" s="9" t="s">
        <v>81</v>
      </c>
      <c r="E59" s="9" t="s">
        <v>93</v>
      </c>
      <c r="F59" s="9" t="s">
        <v>47</v>
      </c>
      <c r="G59" s="9">
        <v>6</v>
      </c>
      <c r="H59" s="11">
        <v>2179.7399999999998</v>
      </c>
      <c r="I59" s="12">
        <v>0.15</v>
      </c>
      <c r="J59" s="11">
        <f t="shared" si="1"/>
        <v>11116.673999999999</v>
      </c>
      <c r="K59" s="11">
        <f>ROUND(J59*0.34,2)</f>
        <v>3779.67</v>
      </c>
      <c r="L59" s="9" t="s">
        <v>39</v>
      </c>
      <c r="M59" s="9">
        <v>2</v>
      </c>
    </row>
    <row r="60" spans="1:13" x14ac:dyDescent="0.3">
      <c r="A60" s="9" t="s">
        <v>133</v>
      </c>
      <c r="B60" s="10">
        <v>45713</v>
      </c>
      <c r="C60" s="9" t="s">
        <v>35</v>
      </c>
      <c r="D60" s="9" t="s">
        <v>50</v>
      </c>
      <c r="E60" s="9" t="s">
        <v>51</v>
      </c>
      <c r="F60" s="9" t="s">
        <v>62</v>
      </c>
      <c r="G60" s="9">
        <v>13</v>
      </c>
      <c r="H60" s="11">
        <v>3303.93</v>
      </c>
      <c r="I60" s="12">
        <v>0</v>
      </c>
      <c r="J60" s="11">
        <f t="shared" si="1"/>
        <v>42951.09</v>
      </c>
      <c r="K60" s="11">
        <f>ROUND(J60*0.266,2)</f>
        <v>11424.99</v>
      </c>
      <c r="L60" s="9" t="s">
        <v>39</v>
      </c>
      <c r="M60" s="9">
        <v>5</v>
      </c>
    </row>
    <row r="61" spans="1:13" x14ac:dyDescent="0.3">
      <c r="A61" s="9" t="s">
        <v>134</v>
      </c>
      <c r="B61" s="10">
        <v>45979</v>
      </c>
      <c r="C61" s="9" t="s">
        <v>61</v>
      </c>
      <c r="D61" s="9" t="s">
        <v>36</v>
      </c>
      <c r="E61" s="9" t="s">
        <v>37</v>
      </c>
      <c r="F61" s="9" t="s">
        <v>56</v>
      </c>
      <c r="G61" s="9">
        <v>19</v>
      </c>
      <c r="H61" s="11">
        <v>35251.199999999997</v>
      </c>
      <c r="I61" s="12">
        <v>0.05</v>
      </c>
      <c r="J61" s="11">
        <f t="shared" si="1"/>
        <v>636284.15999999992</v>
      </c>
      <c r="K61" s="11">
        <f>ROUND(J61*0.099,2)</f>
        <v>62992.13</v>
      </c>
      <c r="L61" s="9" t="s">
        <v>44</v>
      </c>
      <c r="M61" s="9">
        <v>3</v>
      </c>
    </row>
    <row r="62" spans="1:13" x14ac:dyDescent="0.3">
      <c r="A62" s="9" t="s">
        <v>135</v>
      </c>
      <c r="B62" s="10">
        <v>45989</v>
      </c>
      <c r="C62" s="9" t="s">
        <v>49</v>
      </c>
      <c r="D62" s="9" t="s">
        <v>36</v>
      </c>
      <c r="E62" s="9" t="s">
        <v>77</v>
      </c>
      <c r="F62" s="9" t="s">
        <v>75</v>
      </c>
      <c r="G62" s="9">
        <v>4</v>
      </c>
      <c r="H62" s="11">
        <v>19593.52</v>
      </c>
      <c r="I62" s="12">
        <v>0.05</v>
      </c>
      <c r="J62" s="11">
        <f t="shared" si="1"/>
        <v>74455.376000000004</v>
      </c>
      <c r="K62" s="11">
        <f>ROUND(J62*0.198,2)</f>
        <v>14742.16</v>
      </c>
      <c r="L62" s="9" t="s">
        <v>44</v>
      </c>
      <c r="M62" s="9">
        <v>2</v>
      </c>
    </row>
    <row r="63" spans="1:13" x14ac:dyDescent="0.3">
      <c r="A63" s="9" t="s">
        <v>136</v>
      </c>
      <c r="B63" s="10">
        <v>45925</v>
      </c>
      <c r="C63" s="9" t="s">
        <v>49</v>
      </c>
      <c r="D63" s="9" t="s">
        <v>54</v>
      </c>
      <c r="E63" s="9" t="s">
        <v>79</v>
      </c>
      <c r="F63" s="9" t="s">
        <v>75</v>
      </c>
      <c r="G63" s="9">
        <v>15</v>
      </c>
      <c r="H63" s="11">
        <v>1609.17</v>
      </c>
      <c r="I63" s="12">
        <v>0.15</v>
      </c>
      <c r="J63" s="11">
        <f t="shared" si="1"/>
        <v>20516.917500000003</v>
      </c>
      <c r="K63" s="11">
        <f>ROUND(J63*0.31,2)</f>
        <v>6360.24</v>
      </c>
      <c r="L63" s="9" t="s">
        <v>44</v>
      </c>
      <c r="M63" s="9">
        <v>3</v>
      </c>
    </row>
    <row r="64" spans="1:13" x14ac:dyDescent="0.3">
      <c r="A64" s="9" t="s">
        <v>137</v>
      </c>
      <c r="B64" s="10">
        <v>45702</v>
      </c>
      <c r="C64" s="9" t="s">
        <v>49</v>
      </c>
      <c r="D64" s="9" t="s">
        <v>81</v>
      </c>
      <c r="E64" s="9" t="s">
        <v>106</v>
      </c>
      <c r="F64" s="9" t="s">
        <v>75</v>
      </c>
      <c r="G64" s="9">
        <v>19</v>
      </c>
      <c r="H64" s="11">
        <v>2194.61</v>
      </c>
      <c r="I64" s="12">
        <v>0.1</v>
      </c>
      <c r="J64" s="11">
        <f t="shared" si="1"/>
        <v>37527.831000000006</v>
      </c>
      <c r="K64" s="11">
        <f>ROUND(J64*0.213,2)</f>
        <v>7993.43</v>
      </c>
      <c r="L64" s="9" t="s">
        <v>44</v>
      </c>
      <c r="M64" s="9">
        <v>1</v>
      </c>
    </row>
    <row r="65" spans="1:13" x14ac:dyDescent="0.3">
      <c r="A65" s="9" t="s">
        <v>138</v>
      </c>
      <c r="B65" s="10">
        <v>45824</v>
      </c>
      <c r="C65" s="9" t="s">
        <v>61</v>
      </c>
      <c r="D65" s="9" t="s">
        <v>81</v>
      </c>
      <c r="E65" s="9" t="s">
        <v>106</v>
      </c>
      <c r="F65" s="9" t="s">
        <v>47</v>
      </c>
      <c r="G65" s="9">
        <v>9</v>
      </c>
      <c r="H65" s="11">
        <v>1290.1400000000001</v>
      </c>
      <c r="I65" s="12">
        <v>0.1</v>
      </c>
      <c r="J65" s="11">
        <f t="shared" si="1"/>
        <v>10450.134</v>
      </c>
      <c r="K65" s="11">
        <f>ROUND(J65*0.083,2)</f>
        <v>867.36</v>
      </c>
      <c r="L65" s="9" t="s">
        <v>44</v>
      </c>
      <c r="M65" s="9">
        <v>5</v>
      </c>
    </row>
    <row r="66" spans="1:13" x14ac:dyDescent="0.3">
      <c r="A66" s="9" t="s">
        <v>139</v>
      </c>
      <c r="B66" s="10">
        <v>45755</v>
      </c>
      <c r="C66" s="9" t="s">
        <v>35</v>
      </c>
      <c r="D66" s="9" t="s">
        <v>41</v>
      </c>
      <c r="E66" s="9" t="s">
        <v>46</v>
      </c>
      <c r="F66" s="9" t="s">
        <v>75</v>
      </c>
      <c r="G66" s="9">
        <v>18</v>
      </c>
      <c r="H66" s="11">
        <v>6896.03</v>
      </c>
      <c r="I66" s="12">
        <v>0.15</v>
      </c>
      <c r="J66" s="11">
        <f t="shared" ref="J66:J97" si="2">G66*H66*(1-I66)</f>
        <v>105509.25899999999</v>
      </c>
      <c r="K66" s="11">
        <f>ROUND(J66*0.201,2)</f>
        <v>21207.360000000001</v>
      </c>
      <c r="L66" s="9" t="s">
        <v>44</v>
      </c>
      <c r="M66" s="9">
        <v>4</v>
      </c>
    </row>
    <row r="67" spans="1:13" x14ac:dyDescent="0.3">
      <c r="A67" s="9" t="s">
        <v>140</v>
      </c>
      <c r="B67" s="10">
        <v>45666</v>
      </c>
      <c r="C67" s="9" t="s">
        <v>35</v>
      </c>
      <c r="D67" s="9" t="s">
        <v>50</v>
      </c>
      <c r="E67" s="9" t="s">
        <v>68</v>
      </c>
      <c r="F67" s="9" t="s">
        <v>62</v>
      </c>
      <c r="G67" s="9">
        <v>23</v>
      </c>
      <c r="H67" s="11">
        <v>965.07</v>
      </c>
      <c r="I67" s="12">
        <v>0.15</v>
      </c>
      <c r="J67" s="11">
        <f t="shared" si="2"/>
        <v>18867.1185</v>
      </c>
      <c r="K67" s="11">
        <f>ROUND(J67*0.229,2)</f>
        <v>4320.57</v>
      </c>
      <c r="L67" s="9" t="s">
        <v>44</v>
      </c>
      <c r="M67" s="9">
        <v>4</v>
      </c>
    </row>
    <row r="68" spans="1:13" x14ac:dyDescent="0.3">
      <c r="A68" s="9" t="s">
        <v>141</v>
      </c>
      <c r="B68" s="10">
        <v>45834</v>
      </c>
      <c r="C68" s="9" t="s">
        <v>58</v>
      </c>
      <c r="D68" s="9" t="s">
        <v>54</v>
      </c>
      <c r="E68" s="9" t="s">
        <v>72</v>
      </c>
      <c r="F68" s="9" t="s">
        <v>47</v>
      </c>
      <c r="G68" s="9">
        <v>23</v>
      </c>
      <c r="H68" s="11">
        <v>1670.05</v>
      </c>
      <c r="I68" s="12">
        <v>0.05</v>
      </c>
      <c r="J68" s="11">
        <f t="shared" si="2"/>
        <v>36490.592499999999</v>
      </c>
      <c r="K68" s="11">
        <f>ROUND(J68*0.113,2)</f>
        <v>4123.4399999999996</v>
      </c>
      <c r="L68" s="9" t="s">
        <v>44</v>
      </c>
      <c r="M68" s="9">
        <v>2</v>
      </c>
    </row>
    <row r="69" spans="1:13" x14ac:dyDescent="0.3">
      <c r="A69" s="9" t="s">
        <v>142</v>
      </c>
      <c r="B69" s="10">
        <v>45756</v>
      </c>
      <c r="C69" s="9" t="s">
        <v>49</v>
      </c>
      <c r="D69" s="9" t="s">
        <v>36</v>
      </c>
      <c r="E69" s="9" t="s">
        <v>96</v>
      </c>
      <c r="F69" s="9" t="s">
        <v>66</v>
      </c>
      <c r="G69" s="9">
        <v>7</v>
      </c>
      <c r="H69" s="11">
        <v>9854.85</v>
      </c>
      <c r="I69" s="12">
        <v>0.1</v>
      </c>
      <c r="J69" s="11">
        <f t="shared" si="2"/>
        <v>62085.555</v>
      </c>
      <c r="K69" s="11">
        <f>ROUND(J69*0.344,2)</f>
        <v>21357.43</v>
      </c>
      <c r="L69" s="9" t="s">
        <v>44</v>
      </c>
      <c r="M69" s="9">
        <v>5</v>
      </c>
    </row>
    <row r="70" spans="1:13" x14ac:dyDescent="0.3">
      <c r="A70" s="9" t="s">
        <v>143</v>
      </c>
      <c r="B70" s="10">
        <v>45926</v>
      </c>
      <c r="C70" s="9" t="s">
        <v>49</v>
      </c>
      <c r="D70" s="9" t="s">
        <v>36</v>
      </c>
      <c r="E70" s="9" t="s">
        <v>118</v>
      </c>
      <c r="F70" s="9" t="s">
        <v>52</v>
      </c>
      <c r="G70" s="9">
        <v>8</v>
      </c>
      <c r="H70" s="11">
        <v>16335.52</v>
      </c>
      <c r="I70" s="12">
        <v>0.05</v>
      </c>
      <c r="J70" s="11">
        <f t="shared" si="2"/>
        <v>124149.952</v>
      </c>
      <c r="K70" s="11">
        <f>ROUND(J70*0.114,2)</f>
        <v>14153.09</v>
      </c>
      <c r="L70" s="9" t="s">
        <v>39</v>
      </c>
      <c r="M70" s="9">
        <v>5</v>
      </c>
    </row>
    <row r="71" spans="1:13" x14ac:dyDescent="0.3">
      <c r="A71" s="9" t="s">
        <v>144</v>
      </c>
      <c r="B71" s="10">
        <v>45681</v>
      </c>
      <c r="C71" s="9" t="s">
        <v>35</v>
      </c>
      <c r="D71" s="9" t="s">
        <v>54</v>
      </c>
      <c r="E71" s="9" t="s">
        <v>72</v>
      </c>
      <c r="F71" s="9" t="s">
        <v>66</v>
      </c>
      <c r="G71" s="9">
        <v>21</v>
      </c>
      <c r="H71" s="11">
        <v>3059.35</v>
      </c>
      <c r="I71" s="12">
        <v>0.1</v>
      </c>
      <c r="J71" s="11">
        <f t="shared" si="2"/>
        <v>57821.714999999997</v>
      </c>
      <c r="K71" s="11">
        <f>ROUND(J71*0.235,2)</f>
        <v>13588.1</v>
      </c>
      <c r="L71" s="9" t="s">
        <v>39</v>
      </c>
      <c r="M71" s="9">
        <v>1</v>
      </c>
    </row>
    <row r="72" spans="1:13" x14ac:dyDescent="0.3">
      <c r="A72" s="9" t="s">
        <v>145</v>
      </c>
      <c r="B72" s="10">
        <v>45898</v>
      </c>
      <c r="C72" s="9" t="s">
        <v>58</v>
      </c>
      <c r="D72" s="9" t="s">
        <v>81</v>
      </c>
      <c r="E72" s="9" t="s">
        <v>93</v>
      </c>
      <c r="F72" s="9" t="s">
        <v>66</v>
      </c>
      <c r="G72" s="9">
        <v>2</v>
      </c>
      <c r="H72" s="11">
        <v>995.8</v>
      </c>
      <c r="I72" s="12">
        <v>0.2</v>
      </c>
      <c r="J72" s="11">
        <f t="shared" si="2"/>
        <v>1593.28</v>
      </c>
      <c r="K72" s="11">
        <f>ROUND(J72*0.302,2)</f>
        <v>481.17</v>
      </c>
      <c r="L72" s="9" t="s">
        <v>44</v>
      </c>
      <c r="M72" s="9">
        <v>1</v>
      </c>
    </row>
    <row r="73" spans="1:13" x14ac:dyDescent="0.3">
      <c r="A73" s="9" t="s">
        <v>146</v>
      </c>
      <c r="B73" s="10">
        <v>45863</v>
      </c>
      <c r="C73" s="9" t="s">
        <v>58</v>
      </c>
      <c r="D73" s="9" t="s">
        <v>36</v>
      </c>
      <c r="E73" s="9" t="s">
        <v>96</v>
      </c>
      <c r="F73" s="9" t="s">
        <v>43</v>
      </c>
      <c r="G73" s="9">
        <v>5</v>
      </c>
      <c r="H73" s="11">
        <v>6841.51</v>
      </c>
      <c r="I73" s="12">
        <v>0.1</v>
      </c>
      <c r="J73" s="11">
        <f t="shared" si="2"/>
        <v>30786.795000000002</v>
      </c>
      <c r="K73" s="11">
        <f>ROUND(J73*0.348,2)</f>
        <v>10713.8</v>
      </c>
      <c r="L73" s="9" t="s">
        <v>44</v>
      </c>
      <c r="M73" s="9">
        <v>1</v>
      </c>
    </row>
    <row r="74" spans="1:13" x14ac:dyDescent="0.3">
      <c r="A74" s="9" t="s">
        <v>147</v>
      </c>
      <c r="B74" s="10">
        <v>45718</v>
      </c>
      <c r="C74" s="9" t="s">
        <v>58</v>
      </c>
      <c r="D74" s="9" t="s">
        <v>54</v>
      </c>
      <c r="E74" s="9" t="s">
        <v>79</v>
      </c>
      <c r="F74" s="9" t="s">
        <v>38</v>
      </c>
      <c r="G74" s="9">
        <v>25</v>
      </c>
      <c r="H74" s="11">
        <v>1900.62</v>
      </c>
      <c r="I74" s="12">
        <v>0.1</v>
      </c>
      <c r="J74" s="11">
        <f t="shared" si="2"/>
        <v>42763.950000000004</v>
      </c>
      <c r="K74" s="11">
        <f>ROUND(J74*0.312,2)</f>
        <v>13342.35</v>
      </c>
      <c r="L74" s="9" t="s">
        <v>44</v>
      </c>
      <c r="M74" s="9">
        <v>3</v>
      </c>
    </row>
    <row r="75" spans="1:13" x14ac:dyDescent="0.3">
      <c r="A75" s="9" t="s">
        <v>148</v>
      </c>
      <c r="B75" s="10">
        <v>45877</v>
      </c>
      <c r="C75" s="9" t="s">
        <v>49</v>
      </c>
      <c r="D75" s="9" t="s">
        <v>54</v>
      </c>
      <c r="E75" s="9" t="s">
        <v>79</v>
      </c>
      <c r="F75" s="9" t="s">
        <v>43</v>
      </c>
      <c r="G75" s="9">
        <v>20</v>
      </c>
      <c r="H75" s="11">
        <v>3366.36</v>
      </c>
      <c r="I75" s="12">
        <v>0</v>
      </c>
      <c r="J75" s="11">
        <f t="shared" si="2"/>
        <v>67327.199999999997</v>
      </c>
      <c r="K75" s="11">
        <f>ROUND(J75*0.151,2)</f>
        <v>10166.41</v>
      </c>
      <c r="L75" s="9" t="s">
        <v>39</v>
      </c>
      <c r="M75" s="9">
        <v>2</v>
      </c>
    </row>
    <row r="76" spans="1:13" x14ac:dyDescent="0.3">
      <c r="A76" s="9" t="s">
        <v>149</v>
      </c>
      <c r="B76" s="10">
        <v>45699</v>
      </c>
      <c r="C76" s="9" t="s">
        <v>61</v>
      </c>
      <c r="D76" s="9" t="s">
        <v>41</v>
      </c>
      <c r="E76" s="9" t="s">
        <v>42</v>
      </c>
      <c r="F76" s="9" t="s">
        <v>56</v>
      </c>
      <c r="G76" s="9">
        <v>6</v>
      </c>
      <c r="H76" s="11">
        <v>323.27999999999997</v>
      </c>
      <c r="I76" s="12">
        <v>0.1</v>
      </c>
      <c r="J76" s="11">
        <f t="shared" si="2"/>
        <v>1745.712</v>
      </c>
      <c r="K76" s="11">
        <f>ROUND(J76*0.089,2)</f>
        <v>155.37</v>
      </c>
      <c r="L76" s="9" t="s">
        <v>44</v>
      </c>
      <c r="M76" s="9">
        <v>3</v>
      </c>
    </row>
    <row r="77" spans="1:13" x14ac:dyDescent="0.3">
      <c r="A77" s="9" t="s">
        <v>150</v>
      </c>
      <c r="B77" s="10">
        <v>45805</v>
      </c>
      <c r="C77" s="9" t="s">
        <v>49</v>
      </c>
      <c r="D77" s="9" t="s">
        <v>81</v>
      </c>
      <c r="E77" s="9" t="s">
        <v>151</v>
      </c>
      <c r="F77" s="9" t="s">
        <v>38</v>
      </c>
      <c r="G77" s="9">
        <v>9</v>
      </c>
      <c r="H77" s="11">
        <v>2789.22</v>
      </c>
      <c r="I77" s="12">
        <v>0.15</v>
      </c>
      <c r="J77" s="11">
        <f t="shared" si="2"/>
        <v>21337.532999999999</v>
      </c>
      <c r="K77" s="11">
        <f>ROUND(J77*0.111,2)</f>
        <v>2368.4699999999998</v>
      </c>
      <c r="L77" s="9" t="s">
        <v>39</v>
      </c>
      <c r="M77" s="9">
        <v>4</v>
      </c>
    </row>
    <row r="78" spans="1:13" x14ac:dyDescent="0.3">
      <c r="A78" s="9" t="s">
        <v>152</v>
      </c>
      <c r="B78" s="10">
        <v>45773</v>
      </c>
      <c r="C78" s="9" t="s">
        <v>61</v>
      </c>
      <c r="D78" s="9" t="s">
        <v>50</v>
      </c>
      <c r="E78" s="9" t="s">
        <v>68</v>
      </c>
      <c r="F78" s="9" t="s">
        <v>56</v>
      </c>
      <c r="G78" s="9">
        <v>2</v>
      </c>
      <c r="H78" s="11">
        <v>705.84</v>
      </c>
      <c r="I78" s="12">
        <v>0.05</v>
      </c>
      <c r="J78" s="11">
        <f t="shared" si="2"/>
        <v>1341.096</v>
      </c>
      <c r="K78" s="11">
        <f>ROUND(J78*0.114,2)</f>
        <v>152.88</v>
      </c>
      <c r="L78" s="9" t="s">
        <v>44</v>
      </c>
      <c r="M78" s="9">
        <v>4</v>
      </c>
    </row>
    <row r="79" spans="1:13" x14ac:dyDescent="0.3">
      <c r="A79" s="9" t="s">
        <v>153</v>
      </c>
      <c r="B79" s="10">
        <v>46010</v>
      </c>
      <c r="C79" s="9" t="s">
        <v>49</v>
      </c>
      <c r="D79" s="9" t="s">
        <v>81</v>
      </c>
      <c r="E79" s="9" t="s">
        <v>93</v>
      </c>
      <c r="F79" s="9" t="s">
        <v>75</v>
      </c>
      <c r="G79" s="9">
        <v>15</v>
      </c>
      <c r="H79" s="11">
        <v>419.48</v>
      </c>
      <c r="I79" s="12">
        <v>0</v>
      </c>
      <c r="J79" s="11">
        <f t="shared" si="2"/>
        <v>6292.2000000000007</v>
      </c>
      <c r="K79" s="11">
        <f>ROUND(J79*0.243,2)</f>
        <v>1529</v>
      </c>
      <c r="L79" s="9" t="s">
        <v>44</v>
      </c>
      <c r="M79" s="9">
        <v>3</v>
      </c>
    </row>
    <row r="80" spans="1:13" x14ac:dyDescent="0.3">
      <c r="A80" s="9" t="s">
        <v>154</v>
      </c>
      <c r="B80" s="10">
        <v>45671</v>
      </c>
      <c r="C80" s="9" t="s">
        <v>35</v>
      </c>
      <c r="D80" s="9" t="s">
        <v>41</v>
      </c>
      <c r="E80" s="9" t="s">
        <v>86</v>
      </c>
      <c r="F80" s="9" t="s">
        <v>43</v>
      </c>
      <c r="G80" s="9">
        <v>25</v>
      </c>
      <c r="H80" s="11">
        <v>6148.85</v>
      </c>
      <c r="I80" s="12">
        <v>0.05</v>
      </c>
      <c r="J80" s="11">
        <f t="shared" si="2"/>
        <v>146035.1875</v>
      </c>
      <c r="K80" s="11">
        <f>ROUND(J80*0.207,2)</f>
        <v>30229.279999999999</v>
      </c>
      <c r="L80" s="9" t="s">
        <v>39</v>
      </c>
      <c r="M80" s="9">
        <v>2</v>
      </c>
    </row>
    <row r="81" spans="1:13" x14ac:dyDescent="0.3">
      <c r="A81" s="9" t="s">
        <v>155</v>
      </c>
      <c r="B81" s="10">
        <v>45991</v>
      </c>
      <c r="C81" s="9" t="s">
        <v>58</v>
      </c>
      <c r="D81" s="9" t="s">
        <v>50</v>
      </c>
      <c r="E81" s="9" t="s">
        <v>68</v>
      </c>
      <c r="F81" s="9" t="s">
        <v>62</v>
      </c>
      <c r="G81" s="9">
        <v>21</v>
      </c>
      <c r="H81" s="11">
        <v>2877.72</v>
      </c>
      <c r="I81" s="12">
        <v>0</v>
      </c>
      <c r="J81" s="11">
        <f t="shared" si="2"/>
        <v>60432.119999999995</v>
      </c>
      <c r="K81" s="11">
        <f>ROUND(J81*0.19,2)</f>
        <v>11482.1</v>
      </c>
      <c r="L81" s="9" t="s">
        <v>44</v>
      </c>
      <c r="M81" s="9">
        <v>3</v>
      </c>
    </row>
    <row r="82" spans="1:13" x14ac:dyDescent="0.3">
      <c r="A82" s="9" t="s">
        <v>156</v>
      </c>
      <c r="B82" s="10">
        <v>45822</v>
      </c>
      <c r="C82" s="9" t="s">
        <v>35</v>
      </c>
      <c r="D82" s="9" t="s">
        <v>41</v>
      </c>
      <c r="E82" s="9" t="s">
        <v>65</v>
      </c>
      <c r="F82" s="9" t="s">
        <v>62</v>
      </c>
      <c r="G82" s="9">
        <v>23</v>
      </c>
      <c r="H82" s="11">
        <v>4610.58</v>
      </c>
      <c r="I82" s="12">
        <v>0.15</v>
      </c>
      <c r="J82" s="11">
        <f t="shared" si="2"/>
        <v>90136.838999999993</v>
      </c>
      <c r="K82" s="11">
        <f>ROUND(J82*0.09,2)</f>
        <v>8112.32</v>
      </c>
      <c r="L82" s="9" t="s">
        <v>44</v>
      </c>
      <c r="M82" s="9">
        <v>5</v>
      </c>
    </row>
    <row r="83" spans="1:13" x14ac:dyDescent="0.3">
      <c r="A83" s="9" t="s">
        <v>157</v>
      </c>
      <c r="B83" s="10">
        <v>45703</v>
      </c>
      <c r="C83" s="9" t="s">
        <v>49</v>
      </c>
      <c r="D83" s="9" t="s">
        <v>50</v>
      </c>
      <c r="E83" s="9" t="s">
        <v>102</v>
      </c>
      <c r="F83" s="9" t="s">
        <v>56</v>
      </c>
      <c r="G83" s="9">
        <v>25</v>
      </c>
      <c r="H83" s="11">
        <v>1503.99</v>
      </c>
      <c r="I83" s="12">
        <v>0.1</v>
      </c>
      <c r="J83" s="11">
        <f t="shared" si="2"/>
        <v>33839.775000000001</v>
      </c>
      <c r="K83" s="11">
        <f>ROUND(J83*0.205,2)</f>
        <v>6937.15</v>
      </c>
      <c r="L83" s="9" t="s">
        <v>39</v>
      </c>
      <c r="M83" s="9">
        <v>5</v>
      </c>
    </row>
    <row r="84" spans="1:13" x14ac:dyDescent="0.3">
      <c r="A84" s="9" t="s">
        <v>158</v>
      </c>
      <c r="B84" s="10">
        <v>45685</v>
      </c>
      <c r="C84" s="9" t="s">
        <v>61</v>
      </c>
      <c r="D84" s="9" t="s">
        <v>54</v>
      </c>
      <c r="E84" s="9" t="s">
        <v>72</v>
      </c>
      <c r="F84" s="9" t="s">
        <v>75</v>
      </c>
      <c r="G84" s="9">
        <v>21</v>
      </c>
      <c r="H84" s="11">
        <v>1630.84</v>
      </c>
      <c r="I84" s="12">
        <v>0</v>
      </c>
      <c r="J84" s="11">
        <f t="shared" si="2"/>
        <v>34247.64</v>
      </c>
      <c r="K84" s="11">
        <f>ROUND(J84*0.228,2)</f>
        <v>7808.46</v>
      </c>
      <c r="L84" s="9" t="s">
        <v>39</v>
      </c>
      <c r="M84" s="9">
        <v>3</v>
      </c>
    </row>
    <row r="85" spans="1:13" x14ac:dyDescent="0.3">
      <c r="A85" s="9" t="s">
        <v>159</v>
      </c>
      <c r="B85" s="10">
        <v>45805</v>
      </c>
      <c r="C85" s="9" t="s">
        <v>58</v>
      </c>
      <c r="D85" s="9" t="s">
        <v>81</v>
      </c>
      <c r="E85" s="9" t="s">
        <v>151</v>
      </c>
      <c r="F85" s="9" t="s">
        <v>43</v>
      </c>
      <c r="G85" s="9">
        <v>21</v>
      </c>
      <c r="H85" s="11">
        <v>2189.7199999999998</v>
      </c>
      <c r="I85" s="12">
        <v>0</v>
      </c>
      <c r="J85" s="11">
        <f t="shared" si="2"/>
        <v>45984.119999999995</v>
      </c>
      <c r="K85" s="11">
        <f>ROUND(J85*0.229,2)</f>
        <v>10530.36</v>
      </c>
      <c r="L85" s="9" t="s">
        <v>39</v>
      </c>
      <c r="M85" s="9">
        <v>3</v>
      </c>
    </row>
    <row r="86" spans="1:13" x14ac:dyDescent="0.3">
      <c r="A86" s="9" t="s">
        <v>160</v>
      </c>
      <c r="B86" s="10">
        <v>45940</v>
      </c>
      <c r="C86" s="9" t="s">
        <v>58</v>
      </c>
      <c r="D86" s="9" t="s">
        <v>36</v>
      </c>
      <c r="E86" s="9" t="s">
        <v>118</v>
      </c>
      <c r="F86" s="9" t="s">
        <v>56</v>
      </c>
      <c r="G86" s="9">
        <v>15</v>
      </c>
      <c r="H86" s="11">
        <v>42625.67</v>
      </c>
      <c r="I86" s="12">
        <v>0.15</v>
      </c>
      <c r="J86" s="11">
        <f t="shared" si="2"/>
        <v>543477.29249999998</v>
      </c>
      <c r="K86" s="11">
        <f>ROUND(J86*0.332,2)</f>
        <v>180434.46</v>
      </c>
      <c r="L86" s="9" t="s">
        <v>39</v>
      </c>
      <c r="M86" s="9">
        <v>4</v>
      </c>
    </row>
    <row r="87" spans="1:13" x14ac:dyDescent="0.3">
      <c r="A87" s="9" t="s">
        <v>161</v>
      </c>
      <c r="B87" s="10">
        <v>45807</v>
      </c>
      <c r="C87" s="9" t="s">
        <v>49</v>
      </c>
      <c r="D87" s="9" t="s">
        <v>81</v>
      </c>
      <c r="E87" s="9" t="s">
        <v>91</v>
      </c>
      <c r="F87" s="9" t="s">
        <v>75</v>
      </c>
      <c r="G87" s="9">
        <v>8</v>
      </c>
      <c r="H87" s="11">
        <v>1680.23</v>
      </c>
      <c r="I87" s="12">
        <v>0</v>
      </c>
      <c r="J87" s="11">
        <f t="shared" si="2"/>
        <v>13441.84</v>
      </c>
      <c r="K87" s="11">
        <f>ROUND(J87*0.329,2)</f>
        <v>4422.37</v>
      </c>
      <c r="L87" s="9" t="s">
        <v>44</v>
      </c>
      <c r="M87" s="9">
        <v>2</v>
      </c>
    </row>
    <row r="88" spans="1:13" x14ac:dyDescent="0.3">
      <c r="A88" s="9" t="s">
        <v>162</v>
      </c>
      <c r="B88" s="10">
        <v>45918</v>
      </c>
      <c r="C88" s="9" t="s">
        <v>61</v>
      </c>
      <c r="D88" s="9" t="s">
        <v>36</v>
      </c>
      <c r="E88" s="9" t="s">
        <v>37</v>
      </c>
      <c r="F88" s="9" t="s">
        <v>62</v>
      </c>
      <c r="G88" s="9">
        <v>11</v>
      </c>
      <c r="H88" s="11">
        <v>42051.040000000001</v>
      </c>
      <c r="I88" s="12">
        <v>0.1</v>
      </c>
      <c r="J88" s="11">
        <f t="shared" si="2"/>
        <v>416305.29600000003</v>
      </c>
      <c r="K88" s="11">
        <f>ROUND(J88*0.156,2)</f>
        <v>64943.63</v>
      </c>
      <c r="L88" s="9" t="s">
        <v>44</v>
      </c>
      <c r="M88" s="9">
        <v>1</v>
      </c>
    </row>
    <row r="89" spans="1:13" x14ac:dyDescent="0.3">
      <c r="A89" s="9" t="s">
        <v>163</v>
      </c>
      <c r="B89" s="10">
        <v>45810</v>
      </c>
      <c r="C89" s="9" t="s">
        <v>58</v>
      </c>
      <c r="D89" s="9" t="s">
        <v>41</v>
      </c>
      <c r="E89" s="9" t="s">
        <v>46</v>
      </c>
      <c r="F89" s="9" t="s">
        <v>75</v>
      </c>
      <c r="G89" s="9">
        <v>12</v>
      </c>
      <c r="H89" s="11">
        <v>3192.23</v>
      </c>
      <c r="I89" s="12">
        <v>0.2</v>
      </c>
      <c r="J89" s="11">
        <f t="shared" si="2"/>
        <v>30645.408000000003</v>
      </c>
      <c r="K89" s="11">
        <f>ROUND(J89*0.332,2)</f>
        <v>10174.280000000001</v>
      </c>
      <c r="L89" s="9" t="s">
        <v>44</v>
      </c>
      <c r="M89" s="9">
        <v>4</v>
      </c>
    </row>
    <row r="90" spans="1:13" x14ac:dyDescent="0.3">
      <c r="A90" s="9" t="s">
        <v>164</v>
      </c>
      <c r="B90" s="10">
        <v>45754</v>
      </c>
      <c r="C90" s="9" t="s">
        <v>61</v>
      </c>
      <c r="D90" s="9" t="s">
        <v>54</v>
      </c>
      <c r="E90" s="9" t="s">
        <v>165</v>
      </c>
      <c r="F90" s="9" t="s">
        <v>38</v>
      </c>
      <c r="G90" s="9">
        <v>25</v>
      </c>
      <c r="H90" s="11">
        <v>1526.1</v>
      </c>
      <c r="I90" s="12">
        <v>0.05</v>
      </c>
      <c r="J90" s="11">
        <f t="shared" si="2"/>
        <v>36244.875</v>
      </c>
      <c r="K90" s="11">
        <f>ROUND(J90*0.184,2)</f>
        <v>6669.06</v>
      </c>
      <c r="L90" s="9" t="s">
        <v>44</v>
      </c>
      <c r="M90" s="9">
        <v>4</v>
      </c>
    </row>
    <row r="91" spans="1:13" x14ac:dyDescent="0.3">
      <c r="A91" s="9" t="s">
        <v>166</v>
      </c>
      <c r="B91" s="10">
        <v>45997</v>
      </c>
      <c r="C91" s="9" t="s">
        <v>61</v>
      </c>
      <c r="D91" s="9" t="s">
        <v>81</v>
      </c>
      <c r="E91" s="9" t="s">
        <v>151</v>
      </c>
      <c r="F91" s="9" t="s">
        <v>66</v>
      </c>
      <c r="G91" s="9">
        <v>17</v>
      </c>
      <c r="H91" s="11">
        <v>3383.93</v>
      </c>
      <c r="I91" s="12">
        <v>0.05</v>
      </c>
      <c r="J91" s="11">
        <f t="shared" si="2"/>
        <v>54650.469499999992</v>
      </c>
      <c r="K91" s="11">
        <f>ROUND(J91*0.107,2)</f>
        <v>5847.6</v>
      </c>
      <c r="L91" s="9" t="s">
        <v>39</v>
      </c>
      <c r="M91" s="9">
        <v>4</v>
      </c>
    </row>
    <row r="92" spans="1:13" x14ac:dyDescent="0.3">
      <c r="A92" s="9" t="s">
        <v>167</v>
      </c>
      <c r="B92" s="10">
        <v>45891</v>
      </c>
      <c r="C92" s="9" t="s">
        <v>35</v>
      </c>
      <c r="D92" s="9" t="s">
        <v>41</v>
      </c>
      <c r="E92" s="9" t="s">
        <v>46</v>
      </c>
      <c r="F92" s="9" t="s">
        <v>66</v>
      </c>
      <c r="G92" s="9">
        <v>3</v>
      </c>
      <c r="H92" s="11">
        <v>4384.57</v>
      </c>
      <c r="I92" s="12">
        <v>0.05</v>
      </c>
      <c r="J92" s="11">
        <f t="shared" si="2"/>
        <v>12496.024499999998</v>
      </c>
      <c r="K92" s="11">
        <f>ROUND(J92*0.267,2)</f>
        <v>3336.44</v>
      </c>
      <c r="L92" s="9" t="s">
        <v>44</v>
      </c>
      <c r="M92" s="9">
        <v>5</v>
      </c>
    </row>
    <row r="93" spans="1:13" x14ac:dyDescent="0.3">
      <c r="A93" s="9" t="s">
        <v>168</v>
      </c>
      <c r="B93" s="10">
        <v>45990</v>
      </c>
      <c r="C93" s="9" t="s">
        <v>35</v>
      </c>
      <c r="D93" s="9" t="s">
        <v>50</v>
      </c>
      <c r="E93" s="9" t="s">
        <v>51</v>
      </c>
      <c r="F93" s="9" t="s">
        <v>62</v>
      </c>
      <c r="G93" s="9">
        <v>11</v>
      </c>
      <c r="H93" s="11">
        <v>2249.7800000000002</v>
      </c>
      <c r="I93" s="12">
        <v>0.2</v>
      </c>
      <c r="J93" s="11">
        <f t="shared" si="2"/>
        <v>19798.064000000002</v>
      </c>
      <c r="K93" s="11">
        <f>ROUND(J93*0.09,2)</f>
        <v>1781.83</v>
      </c>
      <c r="L93" s="9" t="s">
        <v>44</v>
      </c>
      <c r="M93" s="9">
        <v>5</v>
      </c>
    </row>
    <row r="94" spans="1:13" x14ac:dyDescent="0.3">
      <c r="A94" s="9" t="s">
        <v>169</v>
      </c>
      <c r="B94" s="10">
        <v>45693</v>
      </c>
      <c r="C94" s="9" t="s">
        <v>61</v>
      </c>
      <c r="D94" s="9" t="s">
        <v>50</v>
      </c>
      <c r="E94" s="9" t="s">
        <v>68</v>
      </c>
      <c r="F94" s="9" t="s">
        <v>56</v>
      </c>
      <c r="G94" s="9">
        <v>14</v>
      </c>
      <c r="H94" s="11">
        <v>3427.43</v>
      </c>
      <c r="I94" s="12">
        <v>0.2</v>
      </c>
      <c r="J94" s="11">
        <f t="shared" si="2"/>
        <v>38387.216</v>
      </c>
      <c r="K94" s="11">
        <f>ROUND(J94*0.125,2)</f>
        <v>4798.3999999999996</v>
      </c>
      <c r="L94" s="9" t="s">
        <v>39</v>
      </c>
      <c r="M94" s="9">
        <v>4</v>
      </c>
    </row>
    <row r="95" spans="1:13" x14ac:dyDescent="0.3">
      <c r="A95" s="9" t="s">
        <v>170</v>
      </c>
      <c r="B95" s="10">
        <v>45811</v>
      </c>
      <c r="C95" s="9" t="s">
        <v>35</v>
      </c>
      <c r="D95" s="9" t="s">
        <v>36</v>
      </c>
      <c r="E95" s="9" t="s">
        <v>37</v>
      </c>
      <c r="F95" s="9" t="s">
        <v>43</v>
      </c>
      <c r="G95" s="9">
        <v>10</v>
      </c>
      <c r="H95" s="11">
        <v>16227.08</v>
      </c>
      <c r="I95" s="12">
        <v>0.1</v>
      </c>
      <c r="J95" s="11">
        <f t="shared" si="2"/>
        <v>146043.72</v>
      </c>
      <c r="K95" s="11">
        <f>ROUND(J95*0.223,2)</f>
        <v>32567.75</v>
      </c>
      <c r="L95" s="9" t="s">
        <v>39</v>
      </c>
      <c r="M95" s="9">
        <v>2</v>
      </c>
    </row>
    <row r="96" spans="1:13" x14ac:dyDescent="0.3">
      <c r="A96" s="9" t="s">
        <v>171</v>
      </c>
      <c r="B96" s="10">
        <v>45947</v>
      </c>
      <c r="C96" s="9" t="s">
        <v>61</v>
      </c>
      <c r="D96" s="9" t="s">
        <v>41</v>
      </c>
      <c r="E96" s="9" t="s">
        <v>42</v>
      </c>
      <c r="F96" s="9" t="s">
        <v>56</v>
      </c>
      <c r="G96" s="9">
        <v>20</v>
      </c>
      <c r="H96" s="11">
        <v>7876.3</v>
      </c>
      <c r="I96" s="12">
        <v>0.1</v>
      </c>
      <c r="J96" s="11">
        <f t="shared" si="2"/>
        <v>141773.4</v>
      </c>
      <c r="K96" s="11">
        <f>ROUND(J96*0.326,2)</f>
        <v>46218.13</v>
      </c>
      <c r="L96" s="9" t="s">
        <v>39</v>
      </c>
      <c r="M96" s="9">
        <v>4</v>
      </c>
    </row>
    <row r="97" spans="1:13" x14ac:dyDescent="0.3">
      <c r="A97" s="9" t="s">
        <v>172</v>
      </c>
      <c r="B97" s="10">
        <v>45731</v>
      </c>
      <c r="C97" s="9" t="s">
        <v>61</v>
      </c>
      <c r="D97" s="9" t="s">
        <v>81</v>
      </c>
      <c r="E97" s="9" t="s">
        <v>93</v>
      </c>
      <c r="F97" s="9" t="s">
        <v>75</v>
      </c>
      <c r="G97" s="9">
        <v>9</v>
      </c>
      <c r="H97" s="11">
        <v>2383.92</v>
      </c>
      <c r="I97" s="12">
        <v>0.2</v>
      </c>
      <c r="J97" s="11">
        <f t="shared" si="2"/>
        <v>17164.223999999998</v>
      </c>
      <c r="K97" s="11">
        <f>ROUND(J97*0.263,2)</f>
        <v>4514.1899999999996</v>
      </c>
      <c r="L97" s="9" t="s">
        <v>44</v>
      </c>
      <c r="M97" s="9">
        <v>3</v>
      </c>
    </row>
    <row r="98" spans="1:13" x14ac:dyDescent="0.3">
      <c r="A98" s="9" t="s">
        <v>173</v>
      </c>
      <c r="B98" s="10">
        <v>45738</v>
      </c>
      <c r="C98" s="9" t="s">
        <v>35</v>
      </c>
      <c r="D98" s="9" t="s">
        <v>81</v>
      </c>
      <c r="E98" s="9" t="s">
        <v>93</v>
      </c>
      <c r="F98" s="9" t="s">
        <v>52</v>
      </c>
      <c r="G98" s="9">
        <v>21</v>
      </c>
      <c r="H98" s="11">
        <v>3372.8</v>
      </c>
      <c r="I98" s="12">
        <v>0.15</v>
      </c>
      <c r="J98" s="11">
        <f t="shared" ref="J98:J129" si="3">G98*H98*(1-I98)</f>
        <v>60204.480000000003</v>
      </c>
      <c r="K98" s="11">
        <f>ROUND(J98*0.308,2)</f>
        <v>18542.98</v>
      </c>
      <c r="L98" s="9" t="s">
        <v>44</v>
      </c>
      <c r="M98" s="9">
        <v>4</v>
      </c>
    </row>
    <row r="99" spans="1:13" x14ac:dyDescent="0.3">
      <c r="A99" s="9" t="s">
        <v>174</v>
      </c>
      <c r="B99" s="10">
        <v>45759</v>
      </c>
      <c r="C99" s="9" t="s">
        <v>58</v>
      </c>
      <c r="D99" s="9" t="s">
        <v>81</v>
      </c>
      <c r="E99" s="9" t="s">
        <v>151</v>
      </c>
      <c r="F99" s="9" t="s">
        <v>38</v>
      </c>
      <c r="G99" s="9">
        <v>13</v>
      </c>
      <c r="H99" s="11">
        <v>2065.94</v>
      </c>
      <c r="I99" s="12">
        <v>0.1</v>
      </c>
      <c r="J99" s="11">
        <f t="shared" si="3"/>
        <v>24171.498000000003</v>
      </c>
      <c r="K99" s="11">
        <f>ROUND(J99*0.086,2)</f>
        <v>2078.75</v>
      </c>
      <c r="L99" s="9" t="s">
        <v>44</v>
      </c>
      <c r="M99" s="9">
        <v>3</v>
      </c>
    </row>
    <row r="100" spans="1:13" x14ac:dyDescent="0.3">
      <c r="A100" s="9" t="s">
        <v>175</v>
      </c>
      <c r="B100" s="10">
        <v>45995</v>
      </c>
      <c r="C100" s="9" t="s">
        <v>58</v>
      </c>
      <c r="D100" s="9" t="s">
        <v>50</v>
      </c>
      <c r="E100" s="9" t="s">
        <v>176</v>
      </c>
      <c r="F100" s="9" t="s">
        <v>43</v>
      </c>
      <c r="G100" s="9">
        <v>20</v>
      </c>
      <c r="H100" s="11">
        <v>2646.33</v>
      </c>
      <c r="I100" s="12">
        <v>0.2</v>
      </c>
      <c r="J100" s="11">
        <f t="shared" si="3"/>
        <v>42341.279999999999</v>
      </c>
      <c r="K100" s="11">
        <f>ROUND(J100*0.244,2)</f>
        <v>10331.27</v>
      </c>
      <c r="L100" s="9" t="s">
        <v>44</v>
      </c>
      <c r="M100" s="9">
        <v>2</v>
      </c>
    </row>
    <row r="101" spans="1:13" x14ac:dyDescent="0.3">
      <c r="A101" s="9" t="s">
        <v>177</v>
      </c>
      <c r="B101" s="10">
        <v>45838</v>
      </c>
      <c r="C101" s="9" t="s">
        <v>61</v>
      </c>
      <c r="D101" s="9" t="s">
        <v>41</v>
      </c>
      <c r="E101" s="9" t="s">
        <v>86</v>
      </c>
      <c r="F101" s="9" t="s">
        <v>52</v>
      </c>
      <c r="G101" s="9">
        <v>22</v>
      </c>
      <c r="H101" s="11">
        <v>6873.52</v>
      </c>
      <c r="I101" s="12">
        <v>0.2</v>
      </c>
      <c r="J101" s="11">
        <f t="shared" si="3"/>
        <v>120973.952</v>
      </c>
      <c r="K101" s="11">
        <f>ROUND(J101*0.324,2)</f>
        <v>39195.56</v>
      </c>
      <c r="L101" s="9" t="s">
        <v>39</v>
      </c>
      <c r="M101" s="9">
        <v>1</v>
      </c>
    </row>
  </sheetData>
  <autoFilter ref="A1:M10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1"/>
  <sheetViews>
    <sheetView zoomScale="89" zoomScaleNormal="100" workbookViewId="0">
      <pane ySplit="1" topLeftCell="A21" activePane="bottomLeft" state="frozen"/>
      <selection pane="bottomLeft" activeCell="D30" sqref="D30"/>
    </sheetView>
  </sheetViews>
  <sheetFormatPr defaultColWidth="8.6640625" defaultRowHeight="14.4" x14ac:dyDescent="0.3"/>
  <cols>
    <col min="1" max="1" width="6" customWidth="1"/>
    <col min="2" max="2" width="14" customWidth="1"/>
    <col min="3" max="3" width="75" customWidth="1"/>
    <col min="4" max="4" width="40" customWidth="1"/>
    <col min="7" max="7" width="17.77734375" bestFit="1" customWidth="1"/>
    <col min="8" max="8" width="13.77734375" bestFit="1" customWidth="1"/>
    <col min="11" max="11" width="11" bestFit="1" customWidth="1"/>
    <col min="13" max="13" width="13.44140625" bestFit="1" customWidth="1"/>
  </cols>
  <sheetData>
    <row r="1" spans="1:14" ht="21.75" customHeight="1" x14ac:dyDescent="0.3">
      <c r="A1" s="13" t="s">
        <v>178</v>
      </c>
      <c r="B1" s="13" t="s">
        <v>179</v>
      </c>
      <c r="C1" s="13" t="s">
        <v>180</v>
      </c>
      <c r="D1" s="13" t="s">
        <v>181</v>
      </c>
      <c r="F1">
        <v>1</v>
      </c>
      <c r="G1">
        <v>2</v>
      </c>
      <c r="H1">
        <v>3</v>
      </c>
      <c r="I1">
        <v>4</v>
      </c>
      <c r="J1">
        <v>5</v>
      </c>
      <c r="K1">
        <v>6</v>
      </c>
      <c r="L1">
        <v>7</v>
      </c>
      <c r="M1">
        <v>8</v>
      </c>
      <c r="N1">
        <v>9</v>
      </c>
    </row>
    <row r="2" spans="1:14" ht="33.75" customHeight="1" x14ac:dyDescent="0.3">
      <c r="A2" s="14">
        <v>1</v>
      </c>
      <c r="B2" s="15" t="s">
        <v>182</v>
      </c>
      <c r="C2" s="16" t="s">
        <v>183</v>
      </c>
      <c r="D2" s="17"/>
      <c r="F2" t="str" cm="1">
        <f t="array" ref="F2:F101">IF(Sales&gt;20000,"High","Low")</f>
        <v>High</v>
      </c>
      <c r="G2" t="str" cm="1">
        <f t="array" ref="G2:G101">IF(Rating&gt;=4,"Good","Needs Improvement")</f>
        <v>Good</v>
      </c>
      <c r="H2" t="str" cm="1">
        <f t="array" ref="H2:H101">IF(CustomerType="Wholesale","Wholesale Deal","Retail Deal")</f>
        <v>Retail Deal</v>
      </c>
      <c r="I2" t="str" cm="1">
        <f t="array" ref="I2:I101">IF(Sales&gt;20000,"Large",IF(Sales&gt;=5000,"Medium",IF(Sales&lt;5000,"Small")))</f>
        <v>Large</v>
      </c>
      <c r="J2" t="str" cm="1">
        <f t="array" ref="J2:J101">IF(Rating=5,"Excellent",IF(Rating&gt;=3,"Good",IF(Rating&lt;=2,"Poor")))</f>
        <v>Excellent</v>
      </c>
      <c r="K2" t="str" cm="1">
        <f t="array" ref="K2:K101">IF(Discount=0,"No Discount",IF(Discount&gt;10%,"High",IF(Discount&lt;=10%,"Low")))</f>
        <v>No Discount</v>
      </c>
      <c r="L2" t="str" cm="1">
        <f t="array" ref="L2:L101">_xlfn.IFS(Sales&gt;20000,"Large",Sales&gt;=5000,"Medium",Sales&lt;5000,"Small")</f>
        <v>Large</v>
      </c>
      <c r="M2" t="str" cm="1">
        <f t="array" ref="M2:M101">_xlfn.IFS(Units&gt;=15,"Bulk Order",Units&gt;=5,"Standard Order",Units&lt;5,"Small Order")</f>
        <v>Standard Order</v>
      </c>
      <c r="N2" t="str" cm="1">
        <f t="array" ref="N2:N101">_xlfn.IFS(Region="North","Zone A",Region="South","Zone B",Region="East","Zone C",Region="West","Zone D")</f>
        <v>Zone A</v>
      </c>
    </row>
    <row r="3" spans="1:14" ht="33.75" customHeight="1" x14ac:dyDescent="0.3">
      <c r="A3" s="14">
        <v>2</v>
      </c>
      <c r="B3" s="15" t="s">
        <v>182</v>
      </c>
      <c r="C3" s="16" t="s">
        <v>184</v>
      </c>
      <c r="D3" s="17"/>
      <c r="F3" t="str">
        <v>High</v>
      </c>
      <c r="G3" t="str">
        <v>Needs Improvement</v>
      </c>
      <c r="H3" t="str">
        <v>Wholesale Deal</v>
      </c>
      <c r="I3" t="str">
        <v>Large</v>
      </c>
      <c r="J3" t="str">
        <v>Poor</v>
      </c>
      <c r="K3" t="str">
        <v>High</v>
      </c>
      <c r="L3" t="str">
        <v>Large</v>
      </c>
      <c r="M3" t="str">
        <v>Bulk Order</v>
      </c>
      <c r="N3" t="str">
        <v>Zone A</v>
      </c>
    </row>
    <row r="4" spans="1:14" ht="33.75" customHeight="1" x14ac:dyDescent="0.3">
      <c r="A4" s="14">
        <v>3</v>
      </c>
      <c r="B4" s="15" t="s">
        <v>182</v>
      </c>
      <c r="C4" s="16" t="s">
        <v>185</v>
      </c>
      <c r="D4" s="17"/>
      <c r="F4" t="str">
        <v>Low</v>
      </c>
      <c r="G4" t="str">
        <v>Needs Improvement</v>
      </c>
      <c r="H4" t="str">
        <v>Wholesale Deal</v>
      </c>
      <c r="I4" t="str">
        <v>Medium</v>
      </c>
      <c r="J4" t="str">
        <v>Poor</v>
      </c>
      <c r="K4" t="str">
        <v>High</v>
      </c>
      <c r="L4" t="str">
        <v>Medium</v>
      </c>
      <c r="M4" t="str">
        <v>Standard Order</v>
      </c>
      <c r="N4" t="str">
        <v>Zone A</v>
      </c>
    </row>
    <row r="5" spans="1:14" ht="33.75" customHeight="1" x14ac:dyDescent="0.3">
      <c r="A5" s="14">
        <v>4</v>
      </c>
      <c r="B5" s="15" t="s">
        <v>186</v>
      </c>
      <c r="C5" s="16" t="s">
        <v>187</v>
      </c>
      <c r="D5" s="17"/>
      <c r="F5" t="str">
        <v>Low</v>
      </c>
      <c r="G5" t="str">
        <v>Good</v>
      </c>
      <c r="H5" t="str">
        <v>Retail Deal</v>
      </c>
      <c r="I5" t="str">
        <v>Small</v>
      </c>
      <c r="J5" t="str">
        <v>Good</v>
      </c>
      <c r="K5" t="str">
        <v>Low</v>
      </c>
      <c r="L5" t="str">
        <v>Small</v>
      </c>
      <c r="M5" t="str">
        <v>Small Order</v>
      </c>
      <c r="N5" t="str">
        <v>Zone C</v>
      </c>
    </row>
    <row r="6" spans="1:14" ht="33.75" customHeight="1" x14ac:dyDescent="0.3">
      <c r="A6" s="14">
        <v>5</v>
      </c>
      <c r="B6" s="15" t="s">
        <v>186</v>
      </c>
      <c r="C6" s="16" t="s">
        <v>188</v>
      </c>
      <c r="D6" s="17"/>
      <c r="F6" t="str">
        <v>Low</v>
      </c>
      <c r="G6" t="str">
        <v>Needs Improvement</v>
      </c>
      <c r="H6" t="str">
        <v>Wholesale Deal</v>
      </c>
      <c r="I6" t="str">
        <v>Small</v>
      </c>
      <c r="J6" t="str">
        <v>Poor</v>
      </c>
      <c r="K6" t="str">
        <v>High</v>
      </c>
      <c r="L6" t="str">
        <v>Small</v>
      </c>
      <c r="M6" t="str">
        <v>Small Order</v>
      </c>
      <c r="N6" t="str">
        <v>Zone C</v>
      </c>
    </row>
    <row r="7" spans="1:14" ht="33.75" customHeight="1" x14ac:dyDescent="0.3">
      <c r="A7" s="14">
        <v>6</v>
      </c>
      <c r="B7" s="15" t="s">
        <v>186</v>
      </c>
      <c r="C7" s="16" t="s">
        <v>189</v>
      </c>
      <c r="D7" s="17"/>
      <c r="F7" t="str">
        <v>Low</v>
      </c>
      <c r="G7" t="str">
        <v>Needs Improvement</v>
      </c>
      <c r="H7" t="str">
        <v>Wholesale Deal</v>
      </c>
      <c r="I7" t="str">
        <v>Medium</v>
      </c>
      <c r="J7" t="str">
        <v>Poor</v>
      </c>
      <c r="K7" t="str">
        <v>No Discount</v>
      </c>
      <c r="L7" t="str">
        <v>Medium</v>
      </c>
      <c r="M7" t="str">
        <v>Standard Order</v>
      </c>
      <c r="N7" t="str">
        <v>Zone D</v>
      </c>
    </row>
    <row r="8" spans="1:14" ht="33.75" customHeight="1" x14ac:dyDescent="0.3">
      <c r="A8" s="14">
        <v>7</v>
      </c>
      <c r="B8" s="15" t="s">
        <v>190</v>
      </c>
      <c r="C8" s="16" t="s">
        <v>191</v>
      </c>
      <c r="D8" s="17"/>
      <c r="F8" t="str">
        <v>High</v>
      </c>
      <c r="G8" t="str">
        <v>Needs Improvement</v>
      </c>
      <c r="H8" t="str">
        <v>Retail Deal</v>
      </c>
      <c r="I8" t="str">
        <v>Large</v>
      </c>
      <c r="J8" t="str">
        <v>Good</v>
      </c>
      <c r="K8" t="str">
        <v>High</v>
      </c>
      <c r="L8" t="str">
        <v>Large</v>
      </c>
      <c r="M8" t="str">
        <v>Standard Order</v>
      </c>
      <c r="N8" t="str">
        <v>Zone B</v>
      </c>
    </row>
    <row r="9" spans="1:14" ht="33.75" customHeight="1" x14ac:dyDescent="0.3">
      <c r="A9" s="14">
        <v>8</v>
      </c>
      <c r="B9" s="15" t="s">
        <v>190</v>
      </c>
      <c r="C9" s="16" t="s">
        <v>192</v>
      </c>
      <c r="D9" s="17"/>
      <c r="F9" t="str">
        <v>High</v>
      </c>
      <c r="G9" t="str">
        <v>Needs Improvement</v>
      </c>
      <c r="H9" t="str">
        <v>Wholesale Deal</v>
      </c>
      <c r="I9" t="str">
        <v>Large</v>
      </c>
      <c r="J9" t="str">
        <v>Poor</v>
      </c>
      <c r="K9" t="str">
        <v>Low</v>
      </c>
      <c r="L9" t="str">
        <v>Large</v>
      </c>
      <c r="M9" t="str">
        <v>Standard Order</v>
      </c>
      <c r="N9" t="str">
        <v>Zone B</v>
      </c>
    </row>
    <row r="10" spans="1:14" ht="33.75" customHeight="1" x14ac:dyDescent="0.3">
      <c r="A10" s="14">
        <v>9</v>
      </c>
      <c r="B10" s="15" t="s">
        <v>190</v>
      </c>
      <c r="C10" s="16" t="s">
        <v>193</v>
      </c>
      <c r="D10" s="17"/>
      <c r="F10" t="str">
        <v>High</v>
      </c>
      <c r="G10" t="str">
        <v>Good</v>
      </c>
      <c r="H10" t="str">
        <v>Wholesale Deal</v>
      </c>
      <c r="I10" t="str">
        <v>Large</v>
      </c>
      <c r="J10" t="str">
        <v>Excellent</v>
      </c>
      <c r="K10" t="str">
        <v>Low</v>
      </c>
      <c r="L10" t="str">
        <v>Large</v>
      </c>
      <c r="M10" t="str">
        <v>Standard Order</v>
      </c>
      <c r="N10" t="str">
        <v>Zone D</v>
      </c>
    </row>
    <row r="11" spans="1:14" ht="33.75" customHeight="1" x14ac:dyDescent="0.3">
      <c r="A11" s="14">
        <v>10</v>
      </c>
      <c r="B11" s="15" t="s">
        <v>194</v>
      </c>
      <c r="C11" s="16" t="s">
        <v>195</v>
      </c>
      <c r="D11" s="17">
        <f>SUMIF(Category,"Electronics",Sales)</f>
        <v>3660496.0115000005</v>
      </c>
      <c r="F11" t="str">
        <v>High</v>
      </c>
      <c r="G11" t="str">
        <v>Needs Improvement</v>
      </c>
      <c r="H11" t="str">
        <v>Retail Deal</v>
      </c>
      <c r="I11" t="str">
        <v>Large</v>
      </c>
      <c r="J11" t="str">
        <v>Poor</v>
      </c>
      <c r="K11" t="str">
        <v>High</v>
      </c>
      <c r="L11" t="str">
        <v>Large</v>
      </c>
      <c r="M11" t="str">
        <v>Bulk Order</v>
      </c>
      <c r="N11" t="str">
        <v>Zone D</v>
      </c>
    </row>
    <row r="12" spans="1:14" ht="33.75" customHeight="1" x14ac:dyDescent="0.3">
      <c r="A12" s="14">
        <v>11</v>
      </c>
      <c r="B12" s="15" t="s">
        <v>194</v>
      </c>
      <c r="C12" s="16" t="s">
        <v>196</v>
      </c>
      <c r="D12" s="17">
        <f>SUMIF(Region,"North",Profit)</f>
        <v>498720.05</v>
      </c>
      <c r="F12" t="str">
        <v>High</v>
      </c>
      <c r="G12" t="str">
        <v>Good</v>
      </c>
      <c r="H12" t="str">
        <v>Wholesale Deal</v>
      </c>
      <c r="I12" t="str">
        <v>Large</v>
      </c>
      <c r="J12" t="str">
        <v>Excellent</v>
      </c>
      <c r="K12" t="str">
        <v>Low</v>
      </c>
      <c r="L12" t="str">
        <v>Large</v>
      </c>
      <c r="M12" t="str">
        <v>Standard Order</v>
      </c>
      <c r="N12" t="str">
        <v>Zone D</v>
      </c>
    </row>
    <row r="13" spans="1:14" ht="33.75" customHeight="1" x14ac:dyDescent="0.3">
      <c r="A13" s="14">
        <v>12</v>
      </c>
      <c r="B13" s="15" t="s">
        <v>194</v>
      </c>
      <c r="C13" s="16" t="s">
        <v>197</v>
      </c>
      <c r="D13" s="17">
        <f>SUMIF(Rating,5,Sales)</f>
        <v>790492.61950000003</v>
      </c>
      <c r="F13" t="str">
        <v>Low</v>
      </c>
      <c r="G13" t="str">
        <v>Needs Improvement</v>
      </c>
      <c r="H13" t="str">
        <v>Wholesale Deal</v>
      </c>
      <c r="I13" t="str">
        <v>Small</v>
      </c>
      <c r="J13" t="str">
        <v>Poor</v>
      </c>
      <c r="K13" t="str">
        <v>No Discount</v>
      </c>
      <c r="L13" t="str">
        <v>Small</v>
      </c>
      <c r="M13" t="str">
        <v>Small Order</v>
      </c>
      <c r="N13" t="str">
        <v>Zone A</v>
      </c>
    </row>
    <row r="14" spans="1:14" ht="33.75" customHeight="1" x14ac:dyDescent="0.3">
      <c r="A14" s="14">
        <v>13</v>
      </c>
      <c r="B14" s="15" t="s">
        <v>198</v>
      </c>
      <c r="C14" s="16" t="s">
        <v>199</v>
      </c>
      <c r="D14" s="17">
        <f>SUMIFS(Sales,Category,"Electronics",Region,"North")</f>
        <v>1205581.169</v>
      </c>
      <c r="F14" t="str">
        <v>High</v>
      </c>
      <c r="G14" t="str">
        <v>Needs Improvement</v>
      </c>
      <c r="H14" t="str">
        <v>Retail Deal</v>
      </c>
      <c r="I14" t="str">
        <v>Large</v>
      </c>
      <c r="J14" t="str">
        <v>Good</v>
      </c>
      <c r="K14" t="str">
        <v>No Discount</v>
      </c>
      <c r="L14" t="str">
        <v>Large</v>
      </c>
      <c r="M14" t="str">
        <v>Bulk Order</v>
      </c>
      <c r="N14" t="str">
        <v>Zone B</v>
      </c>
    </row>
    <row r="15" spans="1:14" ht="33.75" customHeight="1" x14ac:dyDescent="0.3">
      <c r="A15" s="14">
        <v>14</v>
      </c>
      <c r="B15" s="15" t="s">
        <v>198</v>
      </c>
      <c r="C15" s="16" t="s">
        <v>200</v>
      </c>
      <c r="D15" s="17">
        <f>SUMIFS(Profit,CustomerType,"Wholesale",Sales,"&gt;10000")</f>
        <v>566137.34999999974</v>
      </c>
      <c r="F15" t="str">
        <v>Low</v>
      </c>
      <c r="G15" t="str">
        <v>Needs Improvement</v>
      </c>
      <c r="H15" t="str">
        <v>Wholesale Deal</v>
      </c>
      <c r="I15" t="str">
        <v>Small</v>
      </c>
      <c r="J15" t="str">
        <v>Poor</v>
      </c>
      <c r="K15" t="str">
        <v>Low</v>
      </c>
      <c r="L15" t="str">
        <v>Small</v>
      </c>
      <c r="M15" t="str">
        <v>Small Order</v>
      </c>
      <c r="N15" t="str">
        <v>Zone A</v>
      </c>
    </row>
    <row r="16" spans="1:14" ht="33.75" customHeight="1" x14ac:dyDescent="0.3">
      <c r="A16" s="14">
        <v>15</v>
      </c>
      <c r="B16" s="15" t="s">
        <v>198</v>
      </c>
      <c r="C16" s="16" t="s">
        <v>201</v>
      </c>
      <c r="D16" s="17">
        <f>SUMIFS(Sales,SalesRep,"Ananya",Category,"Clothing",Discount,"&gt;0")</f>
        <v>42341.279999999999</v>
      </c>
      <c r="F16" t="str">
        <v>High</v>
      </c>
      <c r="G16" t="str">
        <v>Good</v>
      </c>
      <c r="H16" t="str">
        <v>Retail Deal</v>
      </c>
      <c r="I16" t="str">
        <v>Large</v>
      </c>
      <c r="J16" t="str">
        <v>Good</v>
      </c>
      <c r="K16" t="str">
        <v>No Discount</v>
      </c>
      <c r="L16" t="str">
        <v>Large</v>
      </c>
      <c r="M16" t="str">
        <v>Bulk Order</v>
      </c>
      <c r="N16" t="str">
        <v>Zone A</v>
      </c>
    </row>
    <row r="17" spans="1:14" ht="33.75" customHeight="1" x14ac:dyDescent="0.3">
      <c r="A17" s="14">
        <v>16</v>
      </c>
      <c r="B17" s="15" t="s">
        <v>202</v>
      </c>
      <c r="C17" s="16" t="s">
        <v>203</v>
      </c>
      <c r="D17" s="17">
        <f>AVERAGEIF(Category,"Furniture",UnitPrice)</f>
        <v>5379.4805263157896</v>
      </c>
      <c r="F17" t="str">
        <v>Low</v>
      </c>
      <c r="G17" t="str">
        <v>Needs Improvement</v>
      </c>
      <c r="H17" t="str">
        <v>Retail Deal</v>
      </c>
      <c r="I17" t="str">
        <v>Medium</v>
      </c>
      <c r="J17" t="str">
        <v>Good</v>
      </c>
      <c r="K17" t="str">
        <v>High</v>
      </c>
      <c r="L17" t="str">
        <v>Medium</v>
      </c>
      <c r="M17" t="str">
        <v>Standard Order</v>
      </c>
      <c r="N17" t="str">
        <v>Zone C</v>
      </c>
    </row>
    <row r="18" spans="1:14" ht="33.75" customHeight="1" x14ac:dyDescent="0.3">
      <c r="A18" s="14">
        <v>17</v>
      </c>
      <c r="B18" s="15" t="s">
        <v>202</v>
      </c>
      <c r="C18" s="16" t="s">
        <v>204</v>
      </c>
      <c r="D18" s="17">
        <f>AVERAGEIF(Region,"West",Rating)</f>
        <v>2.9130434782608696</v>
      </c>
      <c r="F18" t="str">
        <v>Low</v>
      </c>
      <c r="G18" t="str">
        <v>Needs Improvement</v>
      </c>
      <c r="H18" t="str">
        <v>Wholesale Deal</v>
      </c>
      <c r="I18" t="str">
        <v>Small</v>
      </c>
      <c r="J18" t="str">
        <v>Poor</v>
      </c>
      <c r="K18" t="str">
        <v>No Discount</v>
      </c>
      <c r="L18" t="str">
        <v>Small</v>
      </c>
      <c r="M18" t="str">
        <v>Small Order</v>
      </c>
      <c r="N18" t="str">
        <v>Zone C</v>
      </c>
    </row>
    <row r="19" spans="1:14" ht="33.75" customHeight="1" x14ac:dyDescent="0.3">
      <c r="A19" s="14">
        <v>18</v>
      </c>
      <c r="B19" s="15" t="s">
        <v>205</v>
      </c>
      <c r="C19" s="16" t="s">
        <v>206</v>
      </c>
      <c r="D19" s="17">
        <f>AVERAGEIFS(Sales,CustomerType,"Retail",Category,"Grocery")</f>
        <v>21427.68175</v>
      </c>
      <c r="F19" t="str">
        <v>High</v>
      </c>
      <c r="G19" t="str">
        <v>Needs Improvement</v>
      </c>
      <c r="H19" t="str">
        <v>Wholesale Deal</v>
      </c>
      <c r="I19" t="str">
        <v>Large</v>
      </c>
      <c r="J19" t="str">
        <v>Poor</v>
      </c>
      <c r="K19" t="str">
        <v>No Discount</v>
      </c>
      <c r="L19" t="str">
        <v>Large</v>
      </c>
      <c r="M19" t="str">
        <v>Standard Order</v>
      </c>
      <c r="N19" t="str">
        <v>Zone B</v>
      </c>
    </row>
    <row r="20" spans="1:14" ht="33.75" customHeight="1" x14ac:dyDescent="0.3">
      <c r="A20" s="14">
        <v>19</v>
      </c>
      <c r="B20" s="15" t="s">
        <v>205</v>
      </c>
      <c r="C20" s="16" t="s">
        <v>207</v>
      </c>
      <c r="D20" s="17">
        <f>AVERAGEIFS(Profit,Region,"South",Units,"&gt;10")</f>
        <v>17683.03</v>
      </c>
      <c r="F20" t="str">
        <v>High</v>
      </c>
      <c r="G20" t="str">
        <v>Needs Improvement</v>
      </c>
      <c r="H20" t="str">
        <v>Wholesale Deal</v>
      </c>
      <c r="I20" t="str">
        <v>Large</v>
      </c>
      <c r="J20" t="str">
        <v>Poor</v>
      </c>
      <c r="K20" t="str">
        <v>Low</v>
      </c>
      <c r="L20" t="str">
        <v>Large</v>
      </c>
      <c r="M20" t="str">
        <v>Bulk Order</v>
      </c>
      <c r="N20" t="str">
        <v>Zone D</v>
      </c>
    </row>
    <row r="21" spans="1:14" ht="33.75" customHeight="1" x14ac:dyDescent="0.3">
      <c r="A21" s="14">
        <v>20</v>
      </c>
      <c r="B21" s="15" t="s">
        <v>208</v>
      </c>
      <c r="C21" s="16" t="s">
        <v>209</v>
      </c>
      <c r="D21" s="17">
        <f>COUNTIF(Category,"Stationery")</f>
        <v>21</v>
      </c>
      <c r="F21" t="str">
        <v>High</v>
      </c>
      <c r="G21" t="str">
        <v>Needs Improvement</v>
      </c>
      <c r="H21" t="str">
        <v>Retail Deal</v>
      </c>
      <c r="I21" t="str">
        <v>Large</v>
      </c>
      <c r="J21" t="str">
        <v>Poor</v>
      </c>
      <c r="K21" t="str">
        <v>Low</v>
      </c>
      <c r="L21" t="str">
        <v>Large</v>
      </c>
      <c r="M21" t="str">
        <v>Standard Order</v>
      </c>
      <c r="N21" t="str">
        <v>Zone B</v>
      </c>
    </row>
    <row r="22" spans="1:14" ht="33.75" customHeight="1" x14ac:dyDescent="0.3">
      <c r="A22" s="14">
        <v>21</v>
      </c>
      <c r="B22" s="15" t="s">
        <v>208</v>
      </c>
      <c r="C22" s="16" t="s">
        <v>210</v>
      </c>
      <c r="D22" s="17">
        <f>COUNTIF(Rating,"=5")</f>
        <v>17</v>
      </c>
      <c r="F22" t="str">
        <v>High</v>
      </c>
      <c r="G22" t="str">
        <v>Needs Improvement</v>
      </c>
      <c r="H22" t="str">
        <v>Retail Deal</v>
      </c>
      <c r="I22" t="str">
        <v>Large</v>
      </c>
      <c r="J22" t="str">
        <v>Good</v>
      </c>
      <c r="K22" t="str">
        <v>Low</v>
      </c>
      <c r="L22" t="str">
        <v>Large</v>
      </c>
      <c r="M22" t="str">
        <v>Bulk Order</v>
      </c>
      <c r="N22" t="str">
        <v>Zone A</v>
      </c>
    </row>
    <row r="23" spans="1:14" ht="33.75" customHeight="1" x14ac:dyDescent="0.3">
      <c r="A23" s="14">
        <v>22</v>
      </c>
      <c r="B23" s="15" t="s">
        <v>208</v>
      </c>
      <c r="C23" s="16" t="s">
        <v>211</v>
      </c>
      <c r="D23" s="17">
        <f>COUNTIF(Sales,"&gt;15000")</f>
        <v>76</v>
      </c>
      <c r="F23" t="str">
        <v>High</v>
      </c>
      <c r="G23" t="str">
        <v>Needs Improvement</v>
      </c>
      <c r="H23" t="str">
        <v>Retail Deal</v>
      </c>
      <c r="I23" t="str">
        <v>Large</v>
      </c>
      <c r="J23" t="str">
        <v>Poor</v>
      </c>
      <c r="K23" t="str">
        <v>High</v>
      </c>
      <c r="L23" t="str">
        <v>Large</v>
      </c>
      <c r="M23" t="str">
        <v>Bulk Order</v>
      </c>
      <c r="N23" t="str">
        <v>Zone D</v>
      </c>
    </row>
    <row r="24" spans="1:14" ht="33.75" customHeight="1" x14ac:dyDescent="0.3">
      <c r="A24" s="14">
        <v>23</v>
      </c>
      <c r="B24" s="15" t="s">
        <v>212</v>
      </c>
      <c r="C24" s="16" t="s">
        <v>213</v>
      </c>
      <c r="D24" s="17">
        <f>COUNTIFS(CustomerType,"Wholesale",Region,"East")</f>
        <v>9</v>
      </c>
      <c r="F24" t="str">
        <v>High</v>
      </c>
      <c r="G24" t="str">
        <v>Good</v>
      </c>
      <c r="H24" t="str">
        <v>Retail Deal</v>
      </c>
      <c r="I24" t="str">
        <v>Large</v>
      </c>
      <c r="J24" t="str">
        <v>Good</v>
      </c>
      <c r="K24" t="str">
        <v>No Discount</v>
      </c>
      <c r="L24" t="str">
        <v>Large</v>
      </c>
      <c r="M24" t="str">
        <v>Standard Order</v>
      </c>
      <c r="N24" t="str">
        <v>Zone B</v>
      </c>
    </row>
    <row r="25" spans="1:14" ht="33.75" customHeight="1" x14ac:dyDescent="0.3">
      <c r="A25" s="14">
        <v>24</v>
      </c>
      <c r="B25" s="15" t="s">
        <v>212</v>
      </c>
      <c r="C25" s="16" t="s">
        <v>214</v>
      </c>
      <c r="D25" s="17">
        <f>COUNTIFS(Category,"Electronics",Discount,"&gt;10%")</f>
        <v>2</v>
      </c>
      <c r="F25" t="str">
        <v>High</v>
      </c>
      <c r="G25" t="str">
        <v>Needs Improvement</v>
      </c>
      <c r="H25" t="str">
        <v>Wholesale Deal</v>
      </c>
      <c r="I25" t="str">
        <v>Large</v>
      </c>
      <c r="J25" t="str">
        <v>Poor</v>
      </c>
      <c r="K25" t="str">
        <v>High</v>
      </c>
      <c r="L25" t="str">
        <v>Large</v>
      </c>
      <c r="M25" t="str">
        <v>Bulk Order</v>
      </c>
      <c r="N25" t="str">
        <v>Zone C</v>
      </c>
    </row>
    <row r="26" spans="1:14" ht="33.75" customHeight="1" x14ac:dyDescent="0.3">
      <c r="A26" s="14">
        <v>25</v>
      </c>
      <c r="B26" s="15" t="s">
        <v>215</v>
      </c>
      <c r="C26" s="16" t="s">
        <v>216</v>
      </c>
      <c r="D26" s="17">
        <f>_xlfn.MINIFS(Sales,Category,"Clothing")</f>
        <v>923.67</v>
      </c>
      <c r="F26" t="str">
        <v>High</v>
      </c>
      <c r="G26" t="str">
        <v>Good</v>
      </c>
      <c r="H26" t="str">
        <v>Wholesale Deal</v>
      </c>
      <c r="I26" t="str">
        <v>Large</v>
      </c>
      <c r="J26" t="str">
        <v>Excellent</v>
      </c>
      <c r="K26" t="str">
        <v>No Discount</v>
      </c>
      <c r="L26" t="str">
        <v>Large</v>
      </c>
      <c r="M26" t="str">
        <v>Bulk Order</v>
      </c>
      <c r="N26" t="str">
        <v>Zone A</v>
      </c>
    </row>
    <row r="27" spans="1:14" ht="33.75" customHeight="1" x14ac:dyDescent="0.3">
      <c r="A27" s="14">
        <v>26</v>
      </c>
      <c r="B27" s="15" t="s">
        <v>215</v>
      </c>
      <c r="C27" s="16" t="s">
        <v>217</v>
      </c>
      <c r="D27" s="17">
        <f>_xlfn.MINIFS(UnitPrice,Region,"North")</f>
        <v>298.69</v>
      </c>
      <c r="F27" t="str">
        <v>Low</v>
      </c>
      <c r="G27" t="str">
        <v>Good</v>
      </c>
      <c r="H27" t="str">
        <v>Retail Deal</v>
      </c>
      <c r="I27" t="str">
        <v>Medium</v>
      </c>
      <c r="J27" t="str">
        <v>Good</v>
      </c>
      <c r="K27" t="str">
        <v>No Discount</v>
      </c>
      <c r="L27" t="str">
        <v>Medium</v>
      </c>
      <c r="M27" t="str">
        <v>Standard Order</v>
      </c>
      <c r="N27" t="str">
        <v>Zone B</v>
      </c>
    </row>
    <row r="28" spans="1:14" ht="33.75" customHeight="1" x14ac:dyDescent="0.3">
      <c r="A28" s="14">
        <v>27</v>
      </c>
      <c r="B28" s="15" t="s">
        <v>218</v>
      </c>
      <c r="C28" s="16" t="s">
        <v>219</v>
      </c>
      <c r="D28" s="17">
        <f>_xlfn.MAXIFS(Profit,Category,"Electronics")</f>
        <v>201951.71</v>
      </c>
      <c r="F28" t="str">
        <v>Low</v>
      </c>
      <c r="G28" t="str">
        <v>Needs Improvement</v>
      </c>
      <c r="H28" t="str">
        <v>Wholesale Deal</v>
      </c>
      <c r="I28" t="str">
        <v>Medium</v>
      </c>
      <c r="J28" t="str">
        <v>Good</v>
      </c>
      <c r="K28" t="str">
        <v>High</v>
      </c>
      <c r="L28" t="str">
        <v>Medium</v>
      </c>
      <c r="M28" t="str">
        <v>Bulk Order</v>
      </c>
      <c r="N28" t="str">
        <v>Zone B</v>
      </c>
    </row>
    <row r="29" spans="1:14" ht="33.75" customHeight="1" x14ac:dyDescent="0.3">
      <c r="A29" s="14">
        <v>28</v>
      </c>
      <c r="B29" s="15" t="s">
        <v>218</v>
      </c>
      <c r="C29" s="16" t="s">
        <v>220</v>
      </c>
      <c r="D29" s="17">
        <f>_xlfn.MAXIFS(Sales,CustomerType,"Wholesale",Region,"South")</f>
        <v>636284.15999999992</v>
      </c>
      <c r="F29" t="str">
        <v>High</v>
      </c>
      <c r="G29" t="str">
        <v>Needs Improvement</v>
      </c>
      <c r="H29" t="str">
        <v>Wholesale Deal</v>
      </c>
      <c r="I29" t="str">
        <v>Large</v>
      </c>
      <c r="J29" t="str">
        <v>Poor</v>
      </c>
      <c r="K29" t="str">
        <v>Low</v>
      </c>
      <c r="L29" t="str">
        <v>Large</v>
      </c>
      <c r="M29" t="str">
        <v>Bulk Order</v>
      </c>
      <c r="N29" t="str">
        <v>Zone B</v>
      </c>
    </row>
    <row r="30" spans="1:14" x14ac:dyDescent="0.3">
      <c r="F30" t="str">
        <v>High</v>
      </c>
      <c r="G30" t="str">
        <v>Needs Improvement</v>
      </c>
      <c r="H30" t="str">
        <v>Retail Deal</v>
      </c>
      <c r="I30" t="str">
        <v>Large</v>
      </c>
      <c r="J30" t="str">
        <v>Poor</v>
      </c>
      <c r="K30" t="str">
        <v>Low</v>
      </c>
      <c r="L30" t="str">
        <v>Large</v>
      </c>
      <c r="M30" t="str">
        <v>Bulk Order</v>
      </c>
      <c r="N30" t="str">
        <v>Zone A</v>
      </c>
    </row>
    <row r="31" spans="1:14" x14ac:dyDescent="0.3">
      <c r="F31" t="str">
        <v>High</v>
      </c>
      <c r="G31" t="str">
        <v>Needs Improvement</v>
      </c>
      <c r="H31" t="str">
        <v>Retail Deal</v>
      </c>
      <c r="I31" t="str">
        <v>Large</v>
      </c>
      <c r="J31" t="str">
        <v>Poor</v>
      </c>
      <c r="K31" t="str">
        <v>Low</v>
      </c>
      <c r="L31" t="str">
        <v>Large</v>
      </c>
      <c r="M31" t="str">
        <v>Bulk Order</v>
      </c>
      <c r="N31" t="str">
        <v>Zone D</v>
      </c>
    </row>
    <row r="32" spans="1:14" x14ac:dyDescent="0.3">
      <c r="F32" t="str">
        <v>High</v>
      </c>
      <c r="G32" t="str">
        <v>Good</v>
      </c>
      <c r="H32" t="str">
        <v>Wholesale Deal</v>
      </c>
      <c r="I32" t="str">
        <v>Large</v>
      </c>
      <c r="J32" t="str">
        <v>Excellent</v>
      </c>
      <c r="K32" t="str">
        <v>High</v>
      </c>
      <c r="L32" t="str">
        <v>Large</v>
      </c>
      <c r="M32" t="str">
        <v>Bulk Order</v>
      </c>
      <c r="N32" t="str">
        <v>Zone B</v>
      </c>
    </row>
    <row r="33" spans="6:14" x14ac:dyDescent="0.3">
      <c r="F33" t="str">
        <v>Low</v>
      </c>
      <c r="G33" t="str">
        <v>Needs Improvement</v>
      </c>
      <c r="H33" t="str">
        <v>Wholesale Deal</v>
      </c>
      <c r="I33" t="str">
        <v>Small</v>
      </c>
      <c r="J33" t="str">
        <v>Poor</v>
      </c>
      <c r="K33" t="str">
        <v>No Discount</v>
      </c>
      <c r="L33" t="str">
        <v>Small</v>
      </c>
      <c r="M33" t="str">
        <v>Small Order</v>
      </c>
      <c r="N33" t="str">
        <v>Zone A</v>
      </c>
    </row>
    <row r="34" spans="6:14" x14ac:dyDescent="0.3">
      <c r="F34" t="str">
        <v>Low</v>
      </c>
      <c r="G34" t="str">
        <v>Good</v>
      </c>
      <c r="H34" t="str">
        <v>Retail Deal</v>
      </c>
      <c r="I34" t="str">
        <v>Medium</v>
      </c>
      <c r="J34" t="str">
        <v>Excellent</v>
      </c>
      <c r="K34" t="str">
        <v>High</v>
      </c>
      <c r="L34" t="str">
        <v>Medium</v>
      </c>
      <c r="M34" t="str">
        <v>Small Order</v>
      </c>
      <c r="N34" t="str">
        <v>Zone D</v>
      </c>
    </row>
    <row r="35" spans="6:14" x14ac:dyDescent="0.3">
      <c r="F35" t="str">
        <v>Low</v>
      </c>
      <c r="G35" t="str">
        <v>Needs Improvement</v>
      </c>
      <c r="H35" t="str">
        <v>Retail Deal</v>
      </c>
      <c r="I35" t="str">
        <v>Medium</v>
      </c>
      <c r="J35" t="str">
        <v>Good</v>
      </c>
      <c r="K35" t="str">
        <v>High</v>
      </c>
      <c r="L35" t="str">
        <v>Medium</v>
      </c>
      <c r="M35" t="str">
        <v>Standard Order</v>
      </c>
      <c r="N35" t="str">
        <v>Zone B</v>
      </c>
    </row>
    <row r="36" spans="6:14" x14ac:dyDescent="0.3">
      <c r="F36" t="str">
        <v>High</v>
      </c>
      <c r="G36" t="str">
        <v>Needs Improvement</v>
      </c>
      <c r="H36" t="str">
        <v>Retail Deal</v>
      </c>
      <c r="I36" t="str">
        <v>Large</v>
      </c>
      <c r="J36" t="str">
        <v>Poor</v>
      </c>
      <c r="K36" t="str">
        <v>No Discount</v>
      </c>
      <c r="L36" t="str">
        <v>Large</v>
      </c>
      <c r="M36" t="str">
        <v>Bulk Order</v>
      </c>
      <c r="N36" t="str">
        <v>Zone A</v>
      </c>
    </row>
    <row r="37" spans="6:14" x14ac:dyDescent="0.3">
      <c r="F37" t="str">
        <v>Low</v>
      </c>
      <c r="G37" t="str">
        <v>Good</v>
      </c>
      <c r="H37" t="str">
        <v>Retail Deal</v>
      </c>
      <c r="I37" t="str">
        <v>Medium</v>
      </c>
      <c r="J37" t="str">
        <v>Good</v>
      </c>
      <c r="K37" t="str">
        <v>High</v>
      </c>
      <c r="L37" t="str">
        <v>Medium</v>
      </c>
      <c r="M37" t="str">
        <v>Standard Order</v>
      </c>
      <c r="N37" t="str">
        <v>Zone B</v>
      </c>
    </row>
    <row r="38" spans="6:14" x14ac:dyDescent="0.3">
      <c r="F38" t="str">
        <v>High</v>
      </c>
      <c r="G38" t="str">
        <v>Needs Improvement</v>
      </c>
      <c r="H38" t="str">
        <v>Retail Deal</v>
      </c>
      <c r="I38" t="str">
        <v>Large</v>
      </c>
      <c r="J38" t="str">
        <v>Poor</v>
      </c>
      <c r="K38" t="str">
        <v>High</v>
      </c>
      <c r="L38" t="str">
        <v>Large</v>
      </c>
      <c r="M38" t="str">
        <v>Standard Order</v>
      </c>
      <c r="N38" t="str">
        <v>Zone B</v>
      </c>
    </row>
    <row r="39" spans="6:14" x14ac:dyDescent="0.3">
      <c r="F39" t="str">
        <v>High</v>
      </c>
      <c r="G39" t="str">
        <v>Good</v>
      </c>
      <c r="H39" t="str">
        <v>Wholesale Deal</v>
      </c>
      <c r="I39" t="str">
        <v>Large</v>
      </c>
      <c r="J39" t="str">
        <v>Excellent</v>
      </c>
      <c r="K39" t="str">
        <v>High</v>
      </c>
      <c r="L39" t="str">
        <v>Large</v>
      </c>
      <c r="M39" t="str">
        <v>Bulk Order</v>
      </c>
      <c r="N39" t="str">
        <v>Zone D</v>
      </c>
    </row>
    <row r="40" spans="6:14" x14ac:dyDescent="0.3">
      <c r="F40" t="str">
        <v>Low</v>
      </c>
      <c r="G40" t="str">
        <v>Needs Improvement</v>
      </c>
      <c r="H40" t="str">
        <v>Wholesale Deal</v>
      </c>
      <c r="I40" t="str">
        <v>Small</v>
      </c>
      <c r="J40" t="str">
        <v>Good</v>
      </c>
      <c r="K40" t="str">
        <v>Low</v>
      </c>
      <c r="L40" t="str">
        <v>Small</v>
      </c>
      <c r="M40" t="str">
        <v>Small Order</v>
      </c>
      <c r="N40" t="str">
        <v>Zone A</v>
      </c>
    </row>
    <row r="41" spans="6:14" x14ac:dyDescent="0.3">
      <c r="F41" t="str">
        <v>Low</v>
      </c>
      <c r="G41" t="str">
        <v>Good</v>
      </c>
      <c r="H41" t="str">
        <v>Retail Deal</v>
      </c>
      <c r="I41" t="str">
        <v>Small</v>
      </c>
      <c r="J41" t="str">
        <v>Excellent</v>
      </c>
      <c r="K41" t="str">
        <v>Low</v>
      </c>
      <c r="L41" t="str">
        <v>Small</v>
      </c>
      <c r="M41" t="str">
        <v>Standard Order</v>
      </c>
      <c r="N41" t="str">
        <v>Zone A</v>
      </c>
    </row>
    <row r="42" spans="6:14" x14ac:dyDescent="0.3">
      <c r="F42" t="str">
        <v>High</v>
      </c>
      <c r="G42" t="str">
        <v>Needs Improvement</v>
      </c>
      <c r="H42" t="str">
        <v>Wholesale Deal</v>
      </c>
      <c r="I42" t="str">
        <v>Large</v>
      </c>
      <c r="J42" t="str">
        <v>Poor</v>
      </c>
      <c r="K42" t="str">
        <v>Low</v>
      </c>
      <c r="L42" t="str">
        <v>Large</v>
      </c>
      <c r="M42" t="str">
        <v>Bulk Order</v>
      </c>
      <c r="N42" t="str">
        <v>Zone B</v>
      </c>
    </row>
    <row r="43" spans="6:14" x14ac:dyDescent="0.3">
      <c r="F43" t="str">
        <v>High</v>
      </c>
      <c r="G43" t="str">
        <v>Good</v>
      </c>
      <c r="H43" t="str">
        <v>Retail Deal</v>
      </c>
      <c r="I43" t="str">
        <v>Large</v>
      </c>
      <c r="J43" t="str">
        <v>Good</v>
      </c>
      <c r="K43" t="str">
        <v>No Discount</v>
      </c>
      <c r="L43" t="str">
        <v>Large</v>
      </c>
      <c r="M43" t="str">
        <v>Bulk Order</v>
      </c>
      <c r="N43" t="str">
        <v>Zone C</v>
      </c>
    </row>
    <row r="44" spans="6:14" x14ac:dyDescent="0.3">
      <c r="F44" t="str">
        <v>High</v>
      </c>
      <c r="G44" t="str">
        <v>Needs Improvement</v>
      </c>
      <c r="H44" t="str">
        <v>Wholesale Deal</v>
      </c>
      <c r="I44" t="str">
        <v>Large</v>
      </c>
      <c r="J44" t="str">
        <v>Good</v>
      </c>
      <c r="K44" t="str">
        <v>No Discount</v>
      </c>
      <c r="L44" t="str">
        <v>Large</v>
      </c>
      <c r="M44" t="str">
        <v>Standard Order</v>
      </c>
      <c r="N44" t="str">
        <v>Zone B</v>
      </c>
    </row>
    <row r="45" spans="6:14" x14ac:dyDescent="0.3">
      <c r="F45" t="str">
        <v>Low</v>
      </c>
      <c r="G45" t="str">
        <v>Needs Improvement</v>
      </c>
      <c r="H45" t="str">
        <v>Retail Deal</v>
      </c>
      <c r="I45" t="str">
        <v>Medium</v>
      </c>
      <c r="J45" t="str">
        <v>Poor</v>
      </c>
      <c r="K45" t="str">
        <v>Low</v>
      </c>
      <c r="L45" t="str">
        <v>Medium</v>
      </c>
      <c r="M45" t="str">
        <v>Bulk Order</v>
      </c>
      <c r="N45" t="str">
        <v>Zone C</v>
      </c>
    </row>
    <row r="46" spans="6:14" x14ac:dyDescent="0.3">
      <c r="F46" t="str">
        <v>High</v>
      </c>
      <c r="G46" t="str">
        <v>Needs Improvement</v>
      </c>
      <c r="H46" t="str">
        <v>Retail Deal</v>
      </c>
      <c r="I46" t="str">
        <v>Large</v>
      </c>
      <c r="J46" t="str">
        <v>Poor</v>
      </c>
      <c r="K46" t="str">
        <v>No Discount</v>
      </c>
      <c r="L46" t="str">
        <v>Large</v>
      </c>
      <c r="M46" t="str">
        <v>Standard Order</v>
      </c>
      <c r="N46" t="str">
        <v>Zone C</v>
      </c>
    </row>
    <row r="47" spans="6:14" x14ac:dyDescent="0.3">
      <c r="F47" t="str">
        <v>High</v>
      </c>
      <c r="G47" t="str">
        <v>Needs Improvement</v>
      </c>
      <c r="H47" t="str">
        <v>Wholesale Deal</v>
      </c>
      <c r="I47" t="str">
        <v>Large</v>
      </c>
      <c r="J47" t="str">
        <v>Poor</v>
      </c>
      <c r="K47" t="str">
        <v>Low</v>
      </c>
      <c r="L47" t="str">
        <v>Large</v>
      </c>
      <c r="M47" t="str">
        <v>Bulk Order</v>
      </c>
      <c r="N47" t="str">
        <v>Zone A</v>
      </c>
    </row>
    <row r="48" spans="6:14" x14ac:dyDescent="0.3">
      <c r="F48" t="str">
        <v>High</v>
      </c>
      <c r="G48" t="str">
        <v>Needs Improvement</v>
      </c>
      <c r="H48" t="str">
        <v>Wholesale Deal</v>
      </c>
      <c r="I48" t="str">
        <v>Large</v>
      </c>
      <c r="J48" t="str">
        <v>Poor</v>
      </c>
      <c r="K48" t="str">
        <v>High</v>
      </c>
      <c r="L48" t="str">
        <v>Large</v>
      </c>
      <c r="M48" t="str">
        <v>Standard Order</v>
      </c>
      <c r="N48" t="str">
        <v>Zone A</v>
      </c>
    </row>
    <row r="49" spans="6:14" x14ac:dyDescent="0.3">
      <c r="F49" t="str">
        <v>High</v>
      </c>
      <c r="G49" t="str">
        <v>Good</v>
      </c>
      <c r="H49" t="str">
        <v>Wholesale Deal</v>
      </c>
      <c r="I49" t="str">
        <v>Large</v>
      </c>
      <c r="J49" t="str">
        <v>Excellent</v>
      </c>
      <c r="K49" t="str">
        <v>Low</v>
      </c>
      <c r="L49" t="str">
        <v>Large</v>
      </c>
      <c r="M49" t="str">
        <v>Bulk Order</v>
      </c>
      <c r="N49" t="str">
        <v>Zone D</v>
      </c>
    </row>
    <row r="50" spans="6:14" x14ac:dyDescent="0.3">
      <c r="F50" t="str">
        <v>Low</v>
      </c>
      <c r="G50" t="str">
        <v>Needs Improvement</v>
      </c>
      <c r="H50" t="str">
        <v>Wholesale Deal</v>
      </c>
      <c r="I50" t="str">
        <v>Medium</v>
      </c>
      <c r="J50" t="str">
        <v>Poor</v>
      </c>
      <c r="K50" t="str">
        <v>High</v>
      </c>
      <c r="L50" t="str">
        <v>Medium</v>
      </c>
      <c r="M50" t="str">
        <v>Bulk Order</v>
      </c>
      <c r="N50" t="str">
        <v>Zone D</v>
      </c>
    </row>
    <row r="51" spans="6:14" x14ac:dyDescent="0.3">
      <c r="F51" t="str">
        <v>High</v>
      </c>
      <c r="G51" t="str">
        <v>Needs Improvement</v>
      </c>
      <c r="H51" t="str">
        <v>Retail Deal</v>
      </c>
      <c r="I51" t="str">
        <v>Large</v>
      </c>
      <c r="J51" t="str">
        <v>Poor</v>
      </c>
      <c r="K51" t="str">
        <v>No Discount</v>
      </c>
      <c r="L51" t="str">
        <v>Large</v>
      </c>
      <c r="M51" t="str">
        <v>Standard Order</v>
      </c>
      <c r="N51" t="str">
        <v>Zone C</v>
      </c>
    </row>
    <row r="52" spans="6:14" x14ac:dyDescent="0.3">
      <c r="F52" t="str">
        <v>High</v>
      </c>
      <c r="G52" t="str">
        <v>Needs Improvement</v>
      </c>
      <c r="H52" t="str">
        <v>Wholesale Deal</v>
      </c>
      <c r="I52" t="str">
        <v>Large</v>
      </c>
      <c r="J52" t="str">
        <v>Poor</v>
      </c>
      <c r="K52" t="str">
        <v>Low</v>
      </c>
      <c r="L52" t="str">
        <v>Large</v>
      </c>
      <c r="M52" t="str">
        <v>Standard Order</v>
      </c>
      <c r="N52" t="str">
        <v>Zone B</v>
      </c>
    </row>
    <row r="53" spans="6:14" x14ac:dyDescent="0.3">
      <c r="F53" t="str">
        <v>Low</v>
      </c>
      <c r="G53" t="str">
        <v>Good</v>
      </c>
      <c r="H53" t="str">
        <v>Wholesale Deal</v>
      </c>
      <c r="I53" t="str">
        <v>Small</v>
      </c>
      <c r="J53" t="str">
        <v>Good</v>
      </c>
      <c r="K53" t="str">
        <v>Low</v>
      </c>
      <c r="L53" t="str">
        <v>Small</v>
      </c>
      <c r="M53" t="str">
        <v>Bulk Order</v>
      </c>
      <c r="N53" t="str">
        <v>Zone D</v>
      </c>
    </row>
    <row r="54" spans="6:14" x14ac:dyDescent="0.3">
      <c r="F54" t="str">
        <v>High</v>
      </c>
      <c r="G54" t="str">
        <v>Good</v>
      </c>
      <c r="H54" t="str">
        <v>Wholesale Deal</v>
      </c>
      <c r="I54" t="str">
        <v>Large</v>
      </c>
      <c r="J54" t="str">
        <v>Good</v>
      </c>
      <c r="K54" t="str">
        <v>Low</v>
      </c>
      <c r="L54" t="str">
        <v>Large</v>
      </c>
      <c r="M54" t="str">
        <v>Standard Order</v>
      </c>
      <c r="N54" t="str">
        <v>Zone B</v>
      </c>
    </row>
    <row r="55" spans="6:14" x14ac:dyDescent="0.3">
      <c r="F55" t="str">
        <v>High</v>
      </c>
      <c r="G55" t="str">
        <v>Needs Improvement</v>
      </c>
      <c r="H55" t="str">
        <v>Retail Deal</v>
      </c>
      <c r="I55" t="str">
        <v>Large</v>
      </c>
      <c r="J55" t="str">
        <v>Poor</v>
      </c>
      <c r="K55" t="str">
        <v>High</v>
      </c>
      <c r="L55" t="str">
        <v>Large</v>
      </c>
      <c r="M55" t="str">
        <v>Standard Order</v>
      </c>
      <c r="N55" t="str">
        <v>Zone B</v>
      </c>
    </row>
    <row r="56" spans="6:14" x14ac:dyDescent="0.3">
      <c r="F56" t="str">
        <v>High</v>
      </c>
      <c r="G56" t="str">
        <v>Needs Improvement</v>
      </c>
      <c r="H56" t="str">
        <v>Wholesale Deal</v>
      </c>
      <c r="I56" t="str">
        <v>Large</v>
      </c>
      <c r="J56" t="str">
        <v>Good</v>
      </c>
      <c r="K56" t="str">
        <v>Low</v>
      </c>
      <c r="L56" t="str">
        <v>Large</v>
      </c>
      <c r="M56" t="str">
        <v>Standard Order</v>
      </c>
      <c r="N56" t="str">
        <v>Zone D</v>
      </c>
    </row>
    <row r="57" spans="6:14" x14ac:dyDescent="0.3">
      <c r="F57" t="str">
        <v>Low</v>
      </c>
      <c r="G57" t="str">
        <v>Needs Improvement</v>
      </c>
      <c r="H57" t="str">
        <v>Retail Deal</v>
      </c>
      <c r="I57" t="str">
        <v>Small</v>
      </c>
      <c r="J57" t="str">
        <v>Good</v>
      </c>
      <c r="K57" t="str">
        <v>Low</v>
      </c>
      <c r="L57" t="str">
        <v>Small</v>
      </c>
      <c r="M57" t="str">
        <v>Bulk Order</v>
      </c>
      <c r="N57" t="str">
        <v>Zone C</v>
      </c>
    </row>
    <row r="58" spans="6:14" x14ac:dyDescent="0.3">
      <c r="F58" t="str">
        <v>High</v>
      </c>
      <c r="G58" t="str">
        <v>Good</v>
      </c>
      <c r="H58" t="str">
        <v>Retail Deal</v>
      </c>
      <c r="I58" t="str">
        <v>Large</v>
      </c>
      <c r="J58" t="str">
        <v>Good</v>
      </c>
      <c r="K58" t="str">
        <v>No Discount</v>
      </c>
      <c r="L58" t="str">
        <v>Large</v>
      </c>
      <c r="M58" t="str">
        <v>Small Order</v>
      </c>
      <c r="N58" t="str">
        <v>Zone A</v>
      </c>
    </row>
    <row r="59" spans="6:14" x14ac:dyDescent="0.3">
      <c r="F59" t="str">
        <v>Low</v>
      </c>
      <c r="G59" t="str">
        <v>Needs Improvement</v>
      </c>
      <c r="H59" t="str">
        <v>Retail Deal</v>
      </c>
      <c r="I59" t="str">
        <v>Medium</v>
      </c>
      <c r="J59" t="str">
        <v>Poor</v>
      </c>
      <c r="K59" t="str">
        <v>High</v>
      </c>
      <c r="L59" t="str">
        <v>Medium</v>
      </c>
      <c r="M59" t="str">
        <v>Standard Order</v>
      </c>
      <c r="N59" t="str">
        <v>Zone B</v>
      </c>
    </row>
    <row r="60" spans="6:14" x14ac:dyDescent="0.3">
      <c r="F60" t="str">
        <v>High</v>
      </c>
      <c r="G60" t="str">
        <v>Good</v>
      </c>
      <c r="H60" t="str">
        <v>Retail Deal</v>
      </c>
      <c r="I60" t="str">
        <v>Large</v>
      </c>
      <c r="J60" t="str">
        <v>Excellent</v>
      </c>
      <c r="K60" t="str">
        <v>No Discount</v>
      </c>
      <c r="L60" t="str">
        <v>Large</v>
      </c>
      <c r="M60" t="str">
        <v>Standard Order</v>
      </c>
      <c r="N60" t="str">
        <v>Zone A</v>
      </c>
    </row>
    <row r="61" spans="6:14" x14ac:dyDescent="0.3">
      <c r="F61" t="str">
        <v>High</v>
      </c>
      <c r="G61" t="str">
        <v>Needs Improvement</v>
      </c>
      <c r="H61" t="str">
        <v>Wholesale Deal</v>
      </c>
      <c r="I61" t="str">
        <v>Large</v>
      </c>
      <c r="J61" t="str">
        <v>Good</v>
      </c>
      <c r="K61" t="str">
        <v>Low</v>
      </c>
      <c r="L61" t="str">
        <v>Large</v>
      </c>
      <c r="M61" t="str">
        <v>Bulk Order</v>
      </c>
      <c r="N61" t="str">
        <v>Zone B</v>
      </c>
    </row>
    <row r="62" spans="6:14" x14ac:dyDescent="0.3">
      <c r="F62" t="str">
        <v>High</v>
      </c>
      <c r="G62" t="str">
        <v>Needs Improvement</v>
      </c>
      <c r="H62" t="str">
        <v>Wholesale Deal</v>
      </c>
      <c r="I62" t="str">
        <v>Large</v>
      </c>
      <c r="J62" t="str">
        <v>Poor</v>
      </c>
      <c r="K62" t="str">
        <v>Low</v>
      </c>
      <c r="L62" t="str">
        <v>Large</v>
      </c>
      <c r="M62" t="str">
        <v>Small Order</v>
      </c>
      <c r="N62" t="str">
        <v>Zone C</v>
      </c>
    </row>
    <row r="63" spans="6:14" x14ac:dyDescent="0.3">
      <c r="F63" t="str">
        <v>High</v>
      </c>
      <c r="G63" t="str">
        <v>Needs Improvement</v>
      </c>
      <c r="H63" t="str">
        <v>Wholesale Deal</v>
      </c>
      <c r="I63" t="str">
        <v>Large</v>
      </c>
      <c r="J63" t="str">
        <v>Good</v>
      </c>
      <c r="K63" t="str">
        <v>High</v>
      </c>
      <c r="L63" t="str">
        <v>Large</v>
      </c>
      <c r="M63" t="str">
        <v>Bulk Order</v>
      </c>
      <c r="N63" t="str">
        <v>Zone C</v>
      </c>
    </row>
    <row r="64" spans="6:14" x14ac:dyDescent="0.3">
      <c r="F64" t="str">
        <v>High</v>
      </c>
      <c r="G64" t="str">
        <v>Needs Improvement</v>
      </c>
      <c r="H64" t="str">
        <v>Wholesale Deal</v>
      </c>
      <c r="I64" t="str">
        <v>Large</v>
      </c>
      <c r="J64" t="str">
        <v>Poor</v>
      </c>
      <c r="K64" t="str">
        <v>Low</v>
      </c>
      <c r="L64" t="str">
        <v>Large</v>
      </c>
      <c r="M64" t="str">
        <v>Bulk Order</v>
      </c>
      <c r="N64" t="str">
        <v>Zone C</v>
      </c>
    </row>
    <row r="65" spans="6:14" x14ac:dyDescent="0.3">
      <c r="F65" t="str">
        <v>Low</v>
      </c>
      <c r="G65" t="str">
        <v>Good</v>
      </c>
      <c r="H65" t="str">
        <v>Wholesale Deal</v>
      </c>
      <c r="I65" t="str">
        <v>Medium</v>
      </c>
      <c r="J65" t="str">
        <v>Excellent</v>
      </c>
      <c r="K65" t="str">
        <v>Low</v>
      </c>
      <c r="L65" t="str">
        <v>Medium</v>
      </c>
      <c r="M65" t="str">
        <v>Standard Order</v>
      </c>
      <c r="N65" t="str">
        <v>Zone B</v>
      </c>
    </row>
    <row r="66" spans="6:14" x14ac:dyDescent="0.3">
      <c r="F66" t="str">
        <v>High</v>
      </c>
      <c r="G66" t="str">
        <v>Good</v>
      </c>
      <c r="H66" t="str">
        <v>Wholesale Deal</v>
      </c>
      <c r="I66" t="str">
        <v>Large</v>
      </c>
      <c r="J66" t="str">
        <v>Good</v>
      </c>
      <c r="K66" t="str">
        <v>High</v>
      </c>
      <c r="L66" t="str">
        <v>Large</v>
      </c>
      <c r="M66" t="str">
        <v>Bulk Order</v>
      </c>
      <c r="N66" t="str">
        <v>Zone A</v>
      </c>
    </row>
    <row r="67" spans="6:14" x14ac:dyDescent="0.3">
      <c r="F67" t="str">
        <v>Low</v>
      </c>
      <c r="G67" t="str">
        <v>Good</v>
      </c>
      <c r="H67" t="str">
        <v>Wholesale Deal</v>
      </c>
      <c r="I67" t="str">
        <v>Medium</v>
      </c>
      <c r="J67" t="str">
        <v>Good</v>
      </c>
      <c r="K67" t="str">
        <v>High</v>
      </c>
      <c r="L67" t="str">
        <v>Medium</v>
      </c>
      <c r="M67" t="str">
        <v>Bulk Order</v>
      </c>
      <c r="N67" t="str">
        <v>Zone A</v>
      </c>
    </row>
    <row r="68" spans="6:14" x14ac:dyDescent="0.3">
      <c r="F68" t="str">
        <v>High</v>
      </c>
      <c r="G68" t="str">
        <v>Needs Improvement</v>
      </c>
      <c r="H68" t="str">
        <v>Wholesale Deal</v>
      </c>
      <c r="I68" t="str">
        <v>Large</v>
      </c>
      <c r="J68" t="str">
        <v>Poor</v>
      </c>
      <c r="K68" t="str">
        <v>Low</v>
      </c>
      <c r="L68" t="str">
        <v>Large</v>
      </c>
      <c r="M68" t="str">
        <v>Bulk Order</v>
      </c>
      <c r="N68" t="str">
        <v>Zone D</v>
      </c>
    </row>
    <row r="69" spans="6:14" x14ac:dyDescent="0.3">
      <c r="F69" t="str">
        <v>High</v>
      </c>
      <c r="G69" t="str">
        <v>Good</v>
      </c>
      <c r="H69" t="str">
        <v>Wholesale Deal</v>
      </c>
      <c r="I69" t="str">
        <v>Large</v>
      </c>
      <c r="J69" t="str">
        <v>Excellent</v>
      </c>
      <c r="K69" t="str">
        <v>Low</v>
      </c>
      <c r="L69" t="str">
        <v>Large</v>
      </c>
      <c r="M69" t="str">
        <v>Standard Order</v>
      </c>
      <c r="N69" t="str">
        <v>Zone C</v>
      </c>
    </row>
    <row r="70" spans="6:14" x14ac:dyDescent="0.3">
      <c r="F70" t="str">
        <v>High</v>
      </c>
      <c r="G70" t="str">
        <v>Good</v>
      </c>
      <c r="H70" t="str">
        <v>Retail Deal</v>
      </c>
      <c r="I70" t="str">
        <v>Large</v>
      </c>
      <c r="J70" t="str">
        <v>Excellent</v>
      </c>
      <c r="K70" t="str">
        <v>Low</v>
      </c>
      <c r="L70" t="str">
        <v>Large</v>
      </c>
      <c r="M70" t="str">
        <v>Standard Order</v>
      </c>
      <c r="N70" t="str">
        <v>Zone C</v>
      </c>
    </row>
    <row r="71" spans="6:14" x14ac:dyDescent="0.3">
      <c r="F71" t="str">
        <v>High</v>
      </c>
      <c r="G71" t="str">
        <v>Needs Improvement</v>
      </c>
      <c r="H71" t="str">
        <v>Retail Deal</v>
      </c>
      <c r="I71" t="str">
        <v>Large</v>
      </c>
      <c r="J71" t="str">
        <v>Poor</v>
      </c>
      <c r="K71" t="str">
        <v>Low</v>
      </c>
      <c r="L71" t="str">
        <v>Large</v>
      </c>
      <c r="M71" t="str">
        <v>Bulk Order</v>
      </c>
      <c r="N71" t="str">
        <v>Zone A</v>
      </c>
    </row>
    <row r="72" spans="6:14" x14ac:dyDescent="0.3">
      <c r="F72" t="str">
        <v>Low</v>
      </c>
      <c r="G72" t="str">
        <v>Needs Improvement</v>
      </c>
      <c r="H72" t="str">
        <v>Wholesale Deal</v>
      </c>
      <c r="I72" t="str">
        <v>Small</v>
      </c>
      <c r="J72" t="str">
        <v>Poor</v>
      </c>
      <c r="K72" t="str">
        <v>High</v>
      </c>
      <c r="L72" t="str">
        <v>Small</v>
      </c>
      <c r="M72" t="str">
        <v>Small Order</v>
      </c>
      <c r="N72" t="str">
        <v>Zone D</v>
      </c>
    </row>
    <row r="73" spans="6:14" x14ac:dyDescent="0.3">
      <c r="F73" t="str">
        <v>High</v>
      </c>
      <c r="G73" t="str">
        <v>Needs Improvement</v>
      </c>
      <c r="H73" t="str">
        <v>Wholesale Deal</v>
      </c>
      <c r="I73" t="str">
        <v>Large</v>
      </c>
      <c r="J73" t="str">
        <v>Poor</v>
      </c>
      <c r="K73" t="str">
        <v>Low</v>
      </c>
      <c r="L73" t="str">
        <v>Large</v>
      </c>
      <c r="M73" t="str">
        <v>Standard Order</v>
      </c>
      <c r="N73" t="str">
        <v>Zone D</v>
      </c>
    </row>
    <row r="74" spans="6:14" x14ac:dyDescent="0.3">
      <c r="F74" t="str">
        <v>High</v>
      </c>
      <c r="G74" t="str">
        <v>Needs Improvement</v>
      </c>
      <c r="H74" t="str">
        <v>Wholesale Deal</v>
      </c>
      <c r="I74" t="str">
        <v>Large</v>
      </c>
      <c r="J74" t="str">
        <v>Good</v>
      </c>
      <c r="K74" t="str">
        <v>Low</v>
      </c>
      <c r="L74" t="str">
        <v>Large</v>
      </c>
      <c r="M74" t="str">
        <v>Bulk Order</v>
      </c>
      <c r="N74" t="str">
        <v>Zone D</v>
      </c>
    </row>
    <row r="75" spans="6:14" x14ac:dyDescent="0.3">
      <c r="F75" t="str">
        <v>High</v>
      </c>
      <c r="G75" t="str">
        <v>Needs Improvement</v>
      </c>
      <c r="H75" t="str">
        <v>Retail Deal</v>
      </c>
      <c r="I75" t="str">
        <v>Large</v>
      </c>
      <c r="J75" t="str">
        <v>Poor</v>
      </c>
      <c r="K75" t="str">
        <v>No Discount</v>
      </c>
      <c r="L75" t="str">
        <v>Large</v>
      </c>
      <c r="M75" t="str">
        <v>Bulk Order</v>
      </c>
      <c r="N75" t="str">
        <v>Zone C</v>
      </c>
    </row>
    <row r="76" spans="6:14" x14ac:dyDescent="0.3">
      <c r="F76" t="str">
        <v>Low</v>
      </c>
      <c r="G76" t="str">
        <v>Needs Improvement</v>
      </c>
      <c r="H76" t="str">
        <v>Wholesale Deal</v>
      </c>
      <c r="I76" t="str">
        <v>Small</v>
      </c>
      <c r="J76" t="str">
        <v>Good</v>
      </c>
      <c r="K76" t="str">
        <v>Low</v>
      </c>
      <c r="L76" t="str">
        <v>Small</v>
      </c>
      <c r="M76" t="str">
        <v>Standard Order</v>
      </c>
      <c r="N76" t="str">
        <v>Zone B</v>
      </c>
    </row>
    <row r="77" spans="6:14" x14ac:dyDescent="0.3">
      <c r="F77" t="str">
        <v>High</v>
      </c>
      <c r="G77" t="str">
        <v>Good</v>
      </c>
      <c r="H77" t="str">
        <v>Retail Deal</v>
      </c>
      <c r="I77" t="str">
        <v>Large</v>
      </c>
      <c r="J77" t="str">
        <v>Good</v>
      </c>
      <c r="K77" t="str">
        <v>High</v>
      </c>
      <c r="L77" t="str">
        <v>Large</v>
      </c>
      <c r="M77" t="str">
        <v>Standard Order</v>
      </c>
      <c r="N77" t="str">
        <v>Zone C</v>
      </c>
    </row>
    <row r="78" spans="6:14" x14ac:dyDescent="0.3">
      <c r="F78" t="str">
        <v>Low</v>
      </c>
      <c r="G78" t="str">
        <v>Good</v>
      </c>
      <c r="H78" t="str">
        <v>Wholesale Deal</v>
      </c>
      <c r="I78" t="str">
        <v>Small</v>
      </c>
      <c r="J78" t="str">
        <v>Good</v>
      </c>
      <c r="K78" t="str">
        <v>Low</v>
      </c>
      <c r="L78" t="str">
        <v>Small</v>
      </c>
      <c r="M78" t="str">
        <v>Small Order</v>
      </c>
      <c r="N78" t="str">
        <v>Zone B</v>
      </c>
    </row>
    <row r="79" spans="6:14" x14ac:dyDescent="0.3">
      <c r="F79" t="str">
        <v>Low</v>
      </c>
      <c r="G79" t="str">
        <v>Needs Improvement</v>
      </c>
      <c r="H79" t="str">
        <v>Wholesale Deal</v>
      </c>
      <c r="I79" t="str">
        <v>Medium</v>
      </c>
      <c r="J79" t="str">
        <v>Good</v>
      </c>
      <c r="K79" t="str">
        <v>No Discount</v>
      </c>
      <c r="L79" t="str">
        <v>Medium</v>
      </c>
      <c r="M79" t="str">
        <v>Bulk Order</v>
      </c>
      <c r="N79" t="str">
        <v>Zone C</v>
      </c>
    </row>
    <row r="80" spans="6:14" x14ac:dyDescent="0.3">
      <c r="F80" t="str">
        <v>High</v>
      </c>
      <c r="G80" t="str">
        <v>Needs Improvement</v>
      </c>
      <c r="H80" t="str">
        <v>Retail Deal</v>
      </c>
      <c r="I80" t="str">
        <v>Large</v>
      </c>
      <c r="J80" t="str">
        <v>Poor</v>
      </c>
      <c r="K80" t="str">
        <v>Low</v>
      </c>
      <c r="L80" t="str">
        <v>Large</v>
      </c>
      <c r="M80" t="str">
        <v>Bulk Order</v>
      </c>
      <c r="N80" t="str">
        <v>Zone A</v>
      </c>
    </row>
    <row r="81" spans="6:14" x14ac:dyDescent="0.3">
      <c r="F81" t="str">
        <v>High</v>
      </c>
      <c r="G81" t="str">
        <v>Needs Improvement</v>
      </c>
      <c r="H81" t="str">
        <v>Wholesale Deal</v>
      </c>
      <c r="I81" t="str">
        <v>Large</v>
      </c>
      <c r="J81" t="str">
        <v>Good</v>
      </c>
      <c r="K81" t="str">
        <v>No Discount</v>
      </c>
      <c r="L81" t="str">
        <v>Large</v>
      </c>
      <c r="M81" t="str">
        <v>Bulk Order</v>
      </c>
      <c r="N81" t="str">
        <v>Zone D</v>
      </c>
    </row>
    <row r="82" spans="6:14" x14ac:dyDescent="0.3">
      <c r="F82" t="str">
        <v>High</v>
      </c>
      <c r="G82" t="str">
        <v>Good</v>
      </c>
      <c r="H82" t="str">
        <v>Wholesale Deal</v>
      </c>
      <c r="I82" t="str">
        <v>Large</v>
      </c>
      <c r="J82" t="str">
        <v>Excellent</v>
      </c>
      <c r="K82" t="str">
        <v>High</v>
      </c>
      <c r="L82" t="str">
        <v>Large</v>
      </c>
      <c r="M82" t="str">
        <v>Bulk Order</v>
      </c>
      <c r="N82" t="str">
        <v>Zone A</v>
      </c>
    </row>
    <row r="83" spans="6:14" x14ac:dyDescent="0.3">
      <c r="F83" t="str">
        <v>High</v>
      </c>
      <c r="G83" t="str">
        <v>Good</v>
      </c>
      <c r="H83" t="str">
        <v>Retail Deal</v>
      </c>
      <c r="I83" t="str">
        <v>Large</v>
      </c>
      <c r="J83" t="str">
        <v>Excellent</v>
      </c>
      <c r="K83" t="str">
        <v>Low</v>
      </c>
      <c r="L83" t="str">
        <v>Large</v>
      </c>
      <c r="M83" t="str">
        <v>Bulk Order</v>
      </c>
      <c r="N83" t="str">
        <v>Zone C</v>
      </c>
    </row>
    <row r="84" spans="6:14" x14ac:dyDescent="0.3">
      <c r="F84" t="str">
        <v>High</v>
      </c>
      <c r="G84" t="str">
        <v>Needs Improvement</v>
      </c>
      <c r="H84" t="str">
        <v>Retail Deal</v>
      </c>
      <c r="I84" t="str">
        <v>Large</v>
      </c>
      <c r="J84" t="str">
        <v>Good</v>
      </c>
      <c r="K84" t="str">
        <v>No Discount</v>
      </c>
      <c r="L84" t="str">
        <v>Large</v>
      </c>
      <c r="M84" t="str">
        <v>Bulk Order</v>
      </c>
      <c r="N84" t="str">
        <v>Zone B</v>
      </c>
    </row>
    <row r="85" spans="6:14" x14ac:dyDescent="0.3">
      <c r="F85" t="str">
        <v>High</v>
      </c>
      <c r="G85" t="str">
        <v>Needs Improvement</v>
      </c>
      <c r="H85" t="str">
        <v>Retail Deal</v>
      </c>
      <c r="I85" t="str">
        <v>Large</v>
      </c>
      <c r="J85" t="str">
        <v>Good</v>
      </c>
      <c r="K85" t="str">
        <v>No Discount</v>
      </c>
      <c r="L85" t="str">
        <v>Large</v>
      </c>
      <c r="M85" t="str">
        <v>Bulk Order</v>
      </c>
      <c r="N85" t="str">
        <v>Zone D</v>
      </c>
    </row>
    <row r="86" spans="6:14" x14ac:dyDescent="0.3">
      <c r="F86" t="str">
        <v>High</v>
      </c>
      <c r="G86" t="str">
        <v>Good</v>
      </c>
      <c r="H86" t="str">
        <v>Retail Deal</v>
      </c>
      <c r="I86" t="str">
        <v>Large</v>
      </c>
      <c r="J86" t="str">
        <v>Good</v>
      </c>
      <c r="K86" t="str">
        <v>High</v>
      </c>
      <c r="L86" t="str">
        <v>Large</v>
      </c>
      <c r="M86" t="str">
        <v>Bulk Order</v>
      </c>
      <c r="N86" t="str">
        <v>Zone D</v>
      </c>
    </row>
    <row r="87" spans="6:14" x14ac:dyDescent="0.3">
      <c r="F87" t="str">
        <v>Low</v>
      </c>
      <c r="G87" t="str">
        <v>Needs Improvement</v>
      </c>
      <c r="H87" t="str">
        <v>Wholesale Deal</v>
      </c>
      <c r="I87" t="str">
        <v>Medium</v>
      </c>
      <c r="J87" t="str">
        <v>Poor</v>
      </c>
      <c r="K87" t="str">
        <v>No Discount</v>
      </c>
      <c r="L87" t="str">
        <v>Medium</v>
      </c>
      <c r="M87" t="str">
        <v>Standard Order</v>
      </c>
      <c r="N87" t="str">
        <v>Zone C</v>
      </c>
    </row>
    <row r="88" spans="6:14" x14ac:dyDescent="0.3">
      <c r="F88" t="str">
        <v>High</v>
      </c>
      <c r="G88" t="str">
        <v>Needs Improvement</v>
      </c>
      <c r="H88" t="str">
        <v>Wholesale Deal</v>
      </c>
      <c r="I88" t="str">
        <v>Large</v>
      </c>
      <c r="J88" t="str">
        <v>Poor</v>
      </c>
      <c r="K88" t="str">
        <v>Low</v>
      </c>
      <c r="L88" t="str">
        <v>Large</v>
      </c>
      <c r="M88" t="str">
        <v>Standard Order</v>
      </c>
      <c r="N88" t="str">
        <v>Zone B</v>
      </c>
    </row>
    <row r="89" spans="6:14" x14ac:dyDescent="0.3">
      <c r="F89" t="str">
        <v>High</v>
      </c>
      <c r="G89" t="str">
        <v>Good</v>
      </c>
      <c r="H89" t="str">
        <v>Wholesale Deal</v>
      </c>
      <c r="I89" t="str">
        <v>Large</v>
      </c>
      <c r="J89" t="str">
        <v>Good</v>
      </c>
      <c r="K89" t="str">
        <v>High</v>
      </c>
      <c r="L89" t="str">
        <v>Large</v>
      </c>
      <c r="M89" t="str">
        <v>Standard Order</v>
      </c>
      <c r="N89" t="str">
        <v>Zone D</v>
      </c>
    </row>
    <row r="90" spans="6:14" x14ac:dyDescent="0.3">
      <c r="F90" t="str">
        <v>High</v>
      </c>
      <c r="G90" t="str">
        <v>Good</v>
      </c>
      <c r="H90" t="str">
        <v>Wholesale Deal</v>
      </c>
      <c r="I90" t="str">
        <v>Large</v>
      </c>
      <c r="J90" t="str">
        <v>Good</v>
      </c>
      <c r="K90" t="str">
        <v>Low</v>
      </c>
      <c r="L90" t="str">
        <v>Large</v>
      </c>
      <c r="M90" t="str">
        <v>Bulk Order</v>
      </c>
      <c r="N90" t="str">
        <v>Zone B</v>
      </c>
    </row>
    <row r="91" spans="6:14" x14ac:dyDescent="0.3">
      <c r="F91" t="str">
        <v>High</v>
      </c>
      <c r="G91" t="str">
        <v>Good</v>
      </c>
      <c r="H91" t="str">
        <v>Retail Deal</v>
      </c>
      <c r="I91" t="str">
        <v>Large</v>
      </c>
      <c r="J91" t="str">
        <v>Good</v>
      </c>
      <c r="K91" t="str">
        <v>Low</v>
      </c>
      <c r="L91" t="str">
        <v>Large</v>
      </c>
      <c r="M91" t="str">
        <v>Bulk Order</v>
      </c>
      <c r="N91" t="str">
        <v>Zone B</v>
      </c>
    </row>
    <row r="92" spans="6:14" x14ac:dyDescent="0.3">
      <c r="F92" t="str">
        <v>Low</v>
      </c>
      <c r="G92" t="str">
        <v>Good</v>
      </c>
      <c r="H92" t="str">
        <v>Wholesale Deal</v>
      </c>
      <c r="I92" t="str">
        <v>Medium</v>
      </c>
      <c r="J92" t="str">
        <v>Excellent</v>
      </c>
      <c r="K92" t="str">
        <v>Low</v>
      </c>
      <c r="L92" t="str">
        <v>Medium</v>
      </c>
      <c r="M92" t="str">
        <v>Small Order</v>
      </c>
      <c r="N92" t="str">
        <v>Zone A</v>
      </c>
    </row>
    <row r="93" spans="6:14" x14ac:dyDescent="0.3">
      <c r="F93" t="str">
        <v>Low</v>
      </c>
      <c r="G93" t="str">
        <v>Good</v>
      </c>
      <c r="H93" t="str">
        <v>Wholesale Deal</v>
      </c>
      <c r="I93" t="str">
        <v>Medium</v>
      </c>
      <c r="J93" t="str">
        <v>Excellent</v>
      </c>
      <c r="K93" t="str">
        <v>High</v>
      </c>
      <c r="L93" t="str">
        <v>Medium</v>
      </c>
      <c r="M93" t="str">
        <v>Standard Order</v>
      </c>
      <c r="N93" t="str">
        <v>Zone A</v>
      </c>
    </row>
    <row r="94" spans="6:14" x14ac:dyDescent="0.3">
      <c r="F94" t="str">
        <v>High</v>
      </c>
      <c r="G94" t="str">
        <v>Good</v>
      </c>
      <c r="H94" t="str">
        <v>Retail Deal</v>
      </c>
      <c r="I94" t="str">
        <v>Large</v>
      </c>
      <c r="J94" t="str">
        <v>Good</v>
      </c>
      <c r="K94" t="str">
        <v>High</v>
      </c>
      <c r="L94" t="str">
        <v>Large</v>
      </c>
      <c r="M94" t="str">
        <v>Standard Order</v>
      </c>
      <c r="N94" t="str">
        <v>Zone B</v>
      </c>
    </row>
    <row r="95" spans="6:14" x14ac:dyDescent="0.3">
      <c r="F95" t="str">
        <v>High</v>
      </c>
      <c r="G95" t="str">
        <v>Needs Improvement</v>
      </c>
      <c r="H95" t="str">
        <v>Retail Deal</v>
      </c>
      <c r="I95" t="str">
        <v>Large</v>
      </c>
      <c r="J95" t="str">
        <v>Poor</v>
      </c>
      <c r="K95" t="str">
        <v>Low</v>
      </c>
      <c r="L95" t="str">
        <v>Large</v>
      </c>
      <c r="M95" t="str">
        <v>Standard Order</v>
      </c>
      <c r="N95" t="str">
        <v>Zone A</v>
      </c>
    </row>
    <row r="96" spans="6:14" x14ac:dyDescent="0.3">
      <c r="F96" t="str">
        <v>High</v>
      </c>
      <c r="G96" t="str">
        <v>Good</v>
      </c>
      <c r="H96" t="str">
        <v>Retail Deal</v>
      </c>
      <c r="I96" t="str">
        <v>Large</v>
      </c>
      <c r="J96" t="str">
        <v>Good</v>
      </c>
      <c r="K96" t="str">
        <v>Low</v>
      </c>
      <c r="L96" t="str">
        <v>Large</v>
      </c>
      <c r="M96" t="str">
        <v>Bulk Order</v>
      </c>
      <c r="N96" t="str">
        <v>Zone B</v>
      </c>
    </row>
    <row r="97" spans="6:14" x14ac:dyDescent="0.3">
      <c r="F97" t="str">
        <v>Low</v>
      </c>
      <c r="G97" t="str">
        <v>Needs Improvement</v>
      </c>
      <c r="H97" t="str">
        <v>Wholesale Deal</v>
      </c>
      <c r="I97" t="str">
        <v>Medium</v>
      </c>
      <c r="J97" t="str">
        <v>Good</v>
      </c>
      <c r="K97" t="str">
        <v>High</v>
      </c>
      <c r="L97" t="str">
        <v>Medium</v>
      </c>
      <c r="M97" t="str">
        <v>Standard Order</v>
      </c>
      <c r="N97" t="str">
        <v>Zone B</v>
      </c>
    </row>
    <row r="98" spans="6:14" x14ac:dyDescent="0.3">
      <c r="F98" t="str">
        <v>High</v>
      </c>
      <c r="G98" t="str">
        <v>Good</v>
      </c>
      <c r="H98" t="str">
        <v>Wholesale Deal</v>
      </c>
      <c r="I98" t="str">
        <v>Large</v>
      </c>
      <c r="J98" t="str">
        <v>Good</v>
      </c>
      <c r="K98" t="str">
        <v>High</v>
      </c>
      <c r="L98" t="str">
        <v>Large</v>
      </c>
      <c r="M98" t="str">
        <v>Bulk Order</v>
      </c>
      <c r="N98" t="str">
        <v>Zone A</v>
      </c>
    </row>
    <row r="99" spans="6:14" x14ac:dyDescent="0.3">
      <c r="F99" t="str">
        <v>High</v>
      </c>
      <c r="G99" t="str">
        <v>Needs Improvement</v>
      </c>
      <c r="H99" t="str">
        <v>Wholesale Deal</v>
      </c>
      <c r="I99" t="str">
        <v>Large</v>
      </c>
      <c r="J99" t="str">
        <v>Good</v>
      </c>
      <c r="K99" t="str">
        <v>Low</v>
      </c>
      <c r="L99" t="str">
        <v>Large</v>
      </c>
      <c r="M99" t="str">
        <v>Standard Order</v>
      </c>
      <c r="N99" t="str">
        <v>Zone D</v>
      </c>
    </row>
    <row r="100" spans="6:14" x14ac:dyDescent="0.3">
      <c r="F100" t="str">
        <v>High</v>
      </c>
      <c r="G100" t="str">
        <v>Needs Improvement</v>
      </c>
      <c r="H100" t="str">
        <v>Wholesale Deal</v>
      </c>
      <c r="I100" t="str">
        <v>Large</v>
      </c>
      <c r="J100" t="str">
        <v>Poor</v>
      </c>
      <c r="K100" t="str">
        <v>High</v>
      </c>
      <c r="L100" t="str">
        <v>Large</v>
      </c>
      <c r="M100" t="str">
        <v>Bulk Order</v>
      </c>
      <c r="N100" t="str">
        <v>Zone D</v>
      </c>
    </row>
    <row r="101" spans="6:14" x14ac:dyDescent="0.3">
      <c r="F101" t="str">
        <v>High</v>
      </c>
      <c r="G101" t="str">
        <v>Needs Improvement</v>
      </c>
      <c r="H101" t="str">
        <v>Retail Deal</v>
      </c>
      <c r="I101" t="str">
        <v>Large</v>
      </c>
      <c r="J101" t="str">
        <v>Poor</v>
      </c>
      <c r="K101" t="str">
        <v>High</v>
      </c>
      <c r="L101" t="str">
        <v>Large</v>
      </c>
      <c r="M101" t="str">
        <v>Bulk Order</v>
      </c>
      <c r="N101" t="str">
        <v>Zone B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zoomScaleNormal="100" workbookViewId="0">
      <selection sqref="A1:B1"/>
    </sheetView>
  </sheetViews>
  <sheetFormatPr defaultColWidth="8.6640625" defaultRowHeight="14.4" x14ac:dyDescent="0.3"/>
  <cols>
    <col min="1" max="1" width="6" customWidth="1"/>
    <col min="2" max="2" width="95" customWidth="1"/>
  </cols>
  <sheetData>
    <row r="1" spans="1:2" ht="25.5" customHeight="1" x14ac:dyDescent="0.35">
      <c r="A1" s="2" t="s">
        <v>221</v>
      </c>
      <c r="B1" s="2"/>
    </row>
    <row r="2" spans="1:2" ht="39.75" customHeight="1" x14ac:dyDescent="0.3">
      <c r="A2" s="1" t="s">
        <v>222</v>
      </c>
      <c r="B2" s="1"/>
    </row>
    <row r="4" spans="1:2" ht="31.5" customHeight="1" x14ac:dyDescent="0.3">
      <c r="A4" s="18">
        <v>1</v>
      </c>
      <c r="B4" s="16" t="s">
        <v>223</v>
      </c>
    </row>
    <row r="5" spans="1:2" ht="31.5" customHeight="1" x14ac:dyDescent="0.3">
      <c r="A5" s="18">
        <v>2</v>
      </c>
      <c r="B5" s="16" t="s">
        <v>224</v>
      </c>
    </row>
    <row r="6" spans="1:2" ht="31.5" customHeight="1" x14ac:dyDescent="0.3">
      <c r="A6" s="18">
        <v>3</v>
      </c>
      <c r="B6" s="16" t="s">
        <v>225</v>
      </c>
    </row>
    <row r="7" spans="1:2" ht="31.5" customHeight="1" x14ac:dyDescent="0.3">
      <c r="A7" s="18">
        <v>4</v>
      </c>
      <c r="B7" s="16" t="s">
        <v>226</v>
      </c>
    </row>
    <row r="8" spans="1:2" ht="31.5" customHeight="1" x14ac:dyDescent="0.3">
      <c r="A8" s="18">
        <v>5</v>
      </c>
      <c r="B8" s="16" t="s">
        <v>227</v>
      </c>
    </row>
    <row r="9" spans="1:2" ht="31.5" customHeight="1" x14ac:dyDescent="0.3">
      <c r="A9" s="18">
        <v>6</v>
      </c>
      <c r="B9" s="16" t="s">
        <v>228</v>
      </c>
    </row>
    <row r="10" spans="1:2" ht="31.5" customHeight="1" x14ac:dyDescent="0.3">
      <c r="A10" s="18">
        <v>7</v>
      </c>
      <c r="B10" s="16" t="s">
        <v>229</v>
      </c>
    </row>
  </sheetData>
  <mergeCells count="2">
    <mergeCell ref="A1:B1"/>
    <mergeCell ref="A2:B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9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6" customWidth="1"/>
    <col min="2" max="2" width="14" customWidth="1"/>
    <col min="3" max="3" width="75" customWidth="1"/>
    <col min="4" max="4" width="45" customWidth="1"/>
  </cols>
  <sheetData>
    <row r="1" spans="1:4" x14ac:dyDescent="0.3">
      <c r="A1" s="19" t="s">
        <v>178</v>
      </c>
      <c r="B1" s="19" t="s">
        <v>179</v>
      </c>
      <c r="C1" s="19" t="s">
        <v>180</v>
      </c>
      <c r="D1" s="19" t="s">
        <v>230</v>
      </c>
    </row>
    <row r="2" spans="1:4" ht="33.75" customHeight="1" x14ac:dyDescent="0.3">
      <c r="A2" s="14">
        <v>1</v>
      </c>
      <c r="B2" s="15" t="s">
        <v>182</v>
      </c>
      <c r="C2" s="16" t="s">
        <v>183</v>
      </c>
      <c r="D2" s="20" t="str">
        <f>IF(Sales_Data!J2&gt;20000,"High","Low")</f>
        <v>High</v>
      </c>
    </row>
    <row r="3" spans="1:4" ht="33.75" customHeight="1" x14ac:dyDescent="0.3">
      <c r="A3" s="14">
        <v>2</v>
      </c>
      <c r="B3" s="15" t="s">
        <v>182</v>
      </c>
      <c r="C3" s="16" t="s">
        <v>184</v>
      </c>
      <c r="D3" s="20" t="str">
        <f>IF(Sales_Data!M2&gt;=4,"Good","Needs Improvement")</f>
        <v>Good</v>
      </c>
    </row>
    <row r="4" spans="1:4" ht="33.75" customHeight="1" x14ac:dyDescent="0.3">
      <c r="A4" s="14">
        <v>3</v>
      </c>
      <c r="B4" s="15" t="s">
        <v>182</v>
      </c>
      <c r="C4" s="16" t="s">
        <v>185</v>
      </c>
      <c r="D4" s="20" t="str">
        <f>IF(Sales_Data!L2="Wholesale","Wholesale Deal","Retail Deal")</f>
        <v>Retail Deal</v>
      </c>
    </row>
    <row r="5" spans="1:4" ht="33.75" customHeight="1" x14ac:dyDescent="0.3">
      <c r="A5" s="14">
        <v>4</v>
      </c>
      <c r="B5" s="15" t="s">
        <v>186</v>
      </c>
      <c r="C5" s="16" t="s">
        <v>187</v>
      </c>
      <c r="D5" s="20" t="str">
        <f>IF(Sales_Data!J2&lt;5000,"Small",IF(Sales_Data!J2&lt;=20000,"Medium","Large"))</f>
        <v>Large</v>
      </c>
    </row>
    <row r="6" spans="1:4" ht="33.75" customHeight="1" x14ac:dyDescent="0.3">
      <c r="A6" s="14">
        <v>5</v>
      </c>
      <c r="B6" s="15" t="s">
        <v>186</v>
      </c>
      <c r="C6" s="16" t="s">
        <v>188</v>
      </c>
      <c r="D6" s="20" t="str">
        <f>IF(Sales_Data!M2=5,"Excellent",IF(Sales_Data!M2&gt;=3,"Good","Poor"))</f>
        <v>Excellent</v>
      </c>
    </row>
    <row r="7" spans="1:4" ht="33.75" customHeight="1" x14ac:dyDescent="0.3">
      <c r="A7" s="14">
        <v>6</v>
      </c>
      <c r="B7" s="15" t="s">
        <v>186</v>
      </c>
      <c r="C7" s="16" t="s">
        <v>189</v>
      </c>
      <c r="D7" s="20" t="str">
        <f>IF(Sales_Data!I2=0,"No Discount",IF(Sales_Data!I2&lt;=0.1,"Low","High"))</f>
        <v>No Discount</v>
      </c>
    </row>
    <row r="8" spans="1:4" ht="33.75" customHeight="1" x14ac:dyDescent="0.3">
      <c r="A8" s="14">
        <v>7</v>
      </c>
      <c r="B8" s="15" t="s">
        <v>190</v>
      </c>
      <c r="C8" s="16" t="s">
        <v>191</v>
      </c>
      <c r="D8" s="20" t="str">
        <f>_xlfn.IFS(Sales_Data!J2&lt;5000,"Small",Sales_Data!J2&lt;=20000,"Medium",Sales_Data!J2&gt;20000,"Large")</f>
        <v>Large</v>
      </c>
    </row>
    <row r="9" spans="1:4" ht="33.75" customHeight="1" x14ac:dyDescent="0.3">
      <c r="A9" s="14">
        <v>8</v>
      </c>
      <c r="B9" s="15" t="s">
        <v>190</v>
      </c>
      <c r="C9" s="16" t="s">
        <v>192</v>
      </c>
      <c r="D9" s="20" t="str">
        <f>_xlfn.IFS(Sales_Data!G2&gt;=15,"Bulk Order",Sales_Data!G2&gt;=5,"Standard Order",Sales_Data!G2&lt;5,"Small Order")</f>
        <v>Standard Order</v>
      </c>
    </row>
    <row r="10" spans="1:4" ht="33.75" customHeight="1" x14ac:dyDescent="0.3">
      <c r="A10" s="14">
        <v>9</v>
      </c>
      <c r="B10" s="15" t="s">
        <v>190</v>
      </c>
      <c r="C10" s="16" t="s">
        <v>193</v>
      </c>
      <c r="D10" s="20" t="str">
        <f>_xlfn.IFS(Sales_Data!C2="North","Zone A",Sales_Data!C2="South","Zone B",Sales_Data!C2="East","Zone C",Sales_Data!C2="West","Zone D")</f>
        <v>Zone A</v>
      </c>
    </row>
    <row r="11" spans="1:4" ht="33.75" customHeight="1" x14ac:dyDescent="0.3">
      <c r="A11" s="14">
        <v>10</v>
      </c>
      <c r="B11" s="15" t="s">
        <v>194</v>
      </c>
      <c r="C11" s="16" t="s">
        <v>195</v>
      </c>
      <c r="D11" s="20">
        <f>SUMIF(Sales_Data!D:D,"Electronics",Sales_Data!J:J)</f>
        <v>3660496.0115000005</v>
      </c>
    </row>
    <row r="12" spans="1:4" ht="33.75" customHeight="1" x14ac:dyDescent="0.3">
      <c r="A12" s="14">
        <v>11</v>
      </c>
      <c r="B12" s="15" t="s">
        <v>194</v>
      </c>
      <c r="C12" s="16" t="s">
        <v>196</v>
      </c>
      <c r="D12" s="20">
        <f>SUMIF(Sales_Data!C:C,"North",Sales_Data!K:K)</f>
        <v>498720.05</v>
      </c>
    </row>
    <row r="13" spans="1:4" ht="33.75" customHeight="1" x14ac:dyDescent="0.3">
      <c r="A13" s="14">
        <v>12</v>
      </c>
      <c r="B13" s="15" t="s">
        <v>194</v>
      </c>
      <c r="C13" s="16" t="s">
        <v>197</v>
      </c>
      <c r="D13" s="20">
        <f>SUMIF(Sales_Data!M:M,5,Sales_Data!J:J)</f>
        <v>790492.61950000003</v>
      </c>
    </row>
    <row r="14" spans="1:4" ht="33.75" customHeight="1" x14ac:dyDescent="0.3">
      <c r="A14" s="14">
        <v>13</v>
      </c>
      <c r="B14" s="15" t="s">
        <v>198</v>
      </c>
      <c r="C14" s="16" t="s">
        <v>199</v>
      </c>
      <c r="D14" s="20">
        <f>SUMIFS(Sales_Data!J:J,Sales_Data!D:D,"Electronics",Sales_Data!C:C,"North")</f>
        <v>1205581.169</v>
      </c>
    </row>
    <row r="15" spans="1:4" ht="33.75" customHeight="1" x14ac:dyDescent="0.3">
      <c r="A15" s="14">
        <v>14</v>
      </c>
      <c r="B15" s="15" t="s">
        <v>198</v>
      </c>
      <c r="C15" s="16" t="s">
        <v>200</v>
      </c>
      <c r="D15" s="20">
        <f>SUMIFS(Sales_Data!K:K,Sales_Data!L:L,"Wholesale",Sales_Data!J:J,"&gt;10000")</f>
        <v>566137.34999999974</v>
      </c>
    </row>
    <row r="16" spans="1:4" ht="33.75" customHeight="1" x14ac:dyDescent="0.3">
      <c r="A16" s="14">
        <v>15</v>
      </c>
      <c r="B16" s="15" t="s">
        <v>198</v>
      </c>
      <c r="C16" s="16" t="s">
        <v>201</v>
      </c>
      <c r="D16" s="20">
        <f>SUMIFS(Sales_Data!J:J,Sales_Data!F:F,"Ananya",Sales_Data!D:D,"Clothing",Sales_Data!I:I,"&gt;0")</f>
        <v>42341.279999999999</v>
      </c>
    </row>
    <row r="17" spans="1:4" ht="33.75" customHeight="1" x14ac:dyDescent="0.3">
      <c r="A17" s="14">
        <v>16</v>
      </c>
      <c r="B17" s="15" t="s">
        <v>202</v>
      </c>
      <c r="C17" s="16" t="s">
        <v>203</v>
      </c>
      <c r="D17" s="20">
        <f>AVERAGEIF(Sales_Data!D:D,"Furniture",Sales_Data!H:H)</f>
        <v>5379.4805263157896</v>
      </c>
    </row>
    <row r="18" spans="1:4" ht="33.75" customHeight="1" x14ac:dyDescent="0.3">
      <c r="A18" s="14">
        <v>17</v>
      </c>
      <c r="B18" s="15" t="s">
        <v>202</v>
      </c>
      <c r="C18" s="16" t="s">
        <v>204</v>
      </c>
      <c r="D18" s="20">
        <f>AVERAGEIF(Sales_Data!C:C,"West",Sales_Data!M:M)</f>
        <v>2.9130434782608696</v>
      </c>
    </row>
    <row r="19" spans="1:4" ht="33.75" customHeight="1" x14ac:dyDescent="0.3">
      <c r="A19" s="14">
        <v>18</v>
      </c>
      <c r="B19" s="15" t="s">
        <v>205</v>
      </c>
      <c r="C19" s="16" t="s">
        <v>206</v>
      </c>
      <c r="D19" s="20">
        <f>AVERAGEIFS(Sales_Data!J:J,Sales_Data!L:L,"Retail",Sales_Data!D:D,"Grocery")</f>
        <v>21427.68175</v>
      </c>
    </row>
    <row r="20" spans="1:4" ht="33.75" customHeight="1" x14ac:dyDescent="0.3">
      <c r="A20" s="14">
        <v>19</v>
      </c>
      <c r="B20" s="15" t="s">
        <v>205</v>
      </c>
      <c r="C20" s="16" t="s">
        <v>207</v>
      </c>
      <c r="D20" s="20">
        <f>AVERAGEIFS(Sales_Data!K:K,Sales_Data!C:C,"South",Sales_Data!G:G,"&gt;10")</f>
        <v>17683.03</v>
      </c>
    </row>
    <row r="21" spans="1:4" ht="33.75" customHeight="1" x14ac:dyDescent="0.3">
      <c r="A21" s="14">
        <v>20</v>
      </c>
      <c r="B21" s="15" t="s">
        <v>208</v>
      </c>
      <c r="C21" s="16" t="s">
        <v>209</v>
      </c>
      <c r="D21" s="20">
        <f>COUNTIF(Sales_Data!D:D,"Stationery")</f>
        <v>21</v>
      </c>
    </row>
    <row r="22" spans="1:4" ht="33.75" customHeight="1" x14ac:dyDescent="0.3">
      <c r="A22" s="14">
        <v>21</v>
      </c>
      <c r="B22" s="15" t="s">
        <v>208</v>
      </c>
      <c r="C22" s="16" t="s">
        <v>210</v>
      </c>
      <c r="D22" s="20">
        <f>COUNTIF(Sales_Data!M:M,5)</f>
        <v>17</v>
      </c>
    </row>
    <row r="23" spans="1:4" ht="33.75" customHeight="1" x14ac:dyDescent="0.3">
      <c r="A23" s="14">
        <v>22</v>
      </c>
      <c r="B23" s="15" t="s">
        <v>208</v>
      </c>
      <c r="C23" s="16" t="s">
        <v>211</v>
      </c>
      <c r="D23" s="20">
        <f>COUNTIF(Sales_Data!J:J,"&gt;15000")</f>
        <v>76</v>
      </c>
    </row>
    <row r="24" spans="1:4" ht="33.75" customHeight="1" x14ac:dyDescent="0.3">
      <c r="A24" s="14">
        <v>23</v>
      </c>
      <c r="B24" s="15" t="s">
        <v>212</v>
      </c>
      <c r="C24" s="16" t="s">
        <v>213</v>
      </c>
      <c r="D24" s="20">
        <f>COUNTIFS(Sales_Data!L:L,"Wholesale",Sales_Data!C:C,"East")</f>
        <v>9</v>
      </c>
    </row>
    <row r="25" spans="1:4" ht="33.75" customHeight="1" x14ac:dyDescent="0.3">
      <c r="A25" s="14">
        <v>24</v>
      </c>
      <c r="B25" s="15" t="s">
        <v>212</v>
      </c>
      <c r="C25" s="16" t="s">
        <v>214</v>
      </c>
      <c r="D25" s="20">
        <f>COUNTIFS(Sales_Data!D:D,"Electronics",Sales_Data!I:I,"&gt;0.1")</f>
        <v>2</v>
      </c>
    </row>
    <row r="26" spans="1:4" ht="33.75" customHeight="1" x14ac:dyDescent="0.3">
      <c r="A26" s="14">
        <v>25</v>
      </c>
      <c r="B26" s="15" t="s">
        <v>215</v>
      </c>
      <c r="C26" s="16" t="s">
        <v>216</v>
      </c>
      <c r="D26" s="20">
        <f>_xlfn.MINIFS(Sales_Data!J:J,Sales_Data!D:D,"Clothing")</f>
        <v>923.67</v>
      </c>
    </row>
    <row r="27" spans="1:4" ht="33.75" customHeight="1" x14ac:dyDescent="0.3">
      <c r="A27" s="14">
        <v>26</v>
      </c>
      <c r="B27" s="15" t="s">
        <v>215</v>
      </c>
      <c r="C27" s="16" t="s">
        <v>217</v>
      </c>
      <c r="D27" s="20">
        <f>_xlfn.MINIFS(Sales_Data!H:H,Sales_Data!C:C,"North")</f>
        <v>298.69</v>
      </c>
    </row>
    <row r="28" spans="1:4" ht="33.75" customHeight="1" x14ac:dyDescent="0.3">
      <c r="A28" s="14">
        <v>27</v>
      </c>
      <c r="B28" s="15" t="s">
        <v>218</v>
      </c>
      <c r="C28" s="16" t="s">
        <v>219</v>
      </c>
      <c r="D28" s="20">
        <f>_xlfn.MAXIFS(Sales_Data!K:K,Sales_Data!D:D,"Electronics")</f>
        <v>201951.71</v>
      </c>
    </row>
    <row r="29" spans="1:4" ht="33.75" customHeight="1" x14ac:dyDescent="0.3">
      <c r="A29" s="14">
        <v>28</v>
      </c>
      <c r="B29" s="15" t="s">
        <v>218</v>
      </c>
      <c r="C29" s="16" t="s">
        <v>220</v>
      </c>
      <c r="D29" s="20">
        <f>_xlfn.MAXIFS(Sales_Data!J:J,Sales_Data!L:L,"Wholesale",Sales_Data!C:C,"South")</f>
        <v>636284.15999999992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10</vt:i4>
      </vt:variant>
    </vt:vector>
  </HeadingPairs>
  <TitlesOfParts>
    <vt:vector size="16" baseType="lpstr">
      <vt:lpstr>Instructions</vt:lpstr>
      <vt:lpstr>Sales_Data_Formatted</vt:lpstr>
      <vt:lpstr>Sales_Data</vt:lpstr>
      <vt:lpstr>Assignment_Questions</vt:lpstr>
      <vt:lpstr>Conditional_Formatting_Tasks</vt:lpstr>
      <vt:lpstr>Answer_Key (Trainer Only)</vt:lpstr>
      <vt:lpstr>Category</vt:lpstr>
      <vt:lpstr>CustomerType</vt:lpstr>
      <vt:lpstr>Discount</vt:lpstr>
      <vt:lpstr>Profit</vt:lpstr>
      <vt:lpstr>Rating</vt:lpstr>
      <vt:lpstr>Region</vt:lpstr>
      <vt:lpstr>Sales</vt:lpstr>
      <vt:lpstr>SalesRep</vt:lpstr>
      <vt:lpstr>UnitPrice</vt:lpstr>
      <vt:lpstr>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pallavisrija25@outlook.com</cp:lastModifiedBy>
  <cp:revision>0</cp:revision>
  <dcterms:created xsi:type="dcterms:W3CDTF">2026-07-03T13:28:23Z</dcterms:created>
  <dcterms:modified xsi:type="dcterms:W3CDTF">2026-07-05T16:41:22Z</dcterms:modified>
  <dc:language>en-US</dc:language>
</cp:coreProperties>
</file>